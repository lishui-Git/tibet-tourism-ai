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UET\Html Project\项目文档\"/>
    </mc:Choice>
  </mc:AlternateContent>
  <bookViews>
    <workbookView xWindow="0" yWindow="0" windowWidth="28125" windowHeight="12540" activeTab="1"/>
  </bookViews>
  <sheets>
    <sheet name="项目概述" sheetId="1" r:id="rId1"/>
    <sheet name="开发日报-张三" sheetId="2" r:id="rId2"/>
    <sheet name="开发日报-李四" sheetId="3" r:id="rId3"/>
    <sheet name="开发日报-王五" sheetId="4" r:id="rId4"/>
    <sheet name="开发日报-赵六" sheetId="5" r:id="rId5"/>
  </sheets>
  <calcPr calcId="162913"/>
</workbook>
</file>

<file path=xl/calcChain.xml><?xml version="1.0" encoding="utf-8"?>
<calcChain xmlns="http://schemas.openxmlformats.org/spreadsheetml/2006/main">
  <c r="E9" i="1" l="1"/>
  <c r="D9" i="1"/>
  <c r="N38" i="5"/>
  <c r="N33" i="5"/>
  <c r="N28" i="5"/>
  <c r="N23" i="5"/>
  <c r="N18" i="5"/>
  <c r="N16" i="5" s="1"/>
  <c r="G10" i="1" s="1"/>
  <c r="N38" i="4"/>
  <c r="N33" i="4"/>
  <c r="N28" i="4"/>
  <c r="N23" i="4"/>
  <c r="N18" i="4"/>
  <c r="N16" i="4"/>
  <c r="N38" i="3"/>
  <c r="N33" i="3"/>
  <c r="N28" i="3"/>
  <c r="N23" i="3"/>
  <c r="N18" i="3"/>
  <c r="N16" i="3" s="1"/>
  <c r="E10" i="1" s="1"/>
  <c r="N38" i="2"/>
  <c r="N33" i="2"/>
  <c r="N28" i="2"/>
  <c r="N23" i="2"/>
  <c r="N18" i="2"/>
  <c r="N16" i="2"/>
  <c r="D10" i="1" s="1"/>
  <c r="F10" i="1"/>
  <c r="G9" i="1"/>
  <c r="F9" i="1"/>
  <c r="G8" i="1"/>
  <c r="F8" i="1"/>
  <c r="E8" i="1"/>
  <c r="D8" i="1"/>
  <c r="D7" i="1"/>
  <c r="D12" i="1" l="1"/>
</calcChain>
</file>

<file path=xl/comments1.xml><?xml version="1.0" encoding="utf-8"?>
<comments xmlns="http://schemas.openxmlformats.org/spreadsheetml/2006/main">
  <authors>
    <author>NIIT</author>
  </authors>
  <commentList>
    <comment ref="D11" authorId="0" shapeId="0">
      <text>
        <r>
          <rPr>
            <b/>
            <sz val="9"/>
            <rFont val="宋体"/>
            <charset val="134"/>
          </rPr>
          <t>NIIT:</t>
        </r>
        <r>
          <rPr>
            <sz val="9"/>
            <rFont val="宋体"/>
            <charset val="134"/>
          </rPr>
          <t xml:space="preserve">
由队长评估</t>
        </r>
      </text>
    </comment>
    <comment ref="E11" authorId="0" shapeId="0">
      <text>
        <r>
          <rPr>
            <b/>
            <sz val="9"/>
            <rFont val="宋体"/>
            <charset val="134"/>
          </rPr>
          <t>NIIT:</t>
        </r>
        <r>
          <rPr>
            <sz val="9"/>
            <rFont val="宋体"/>
            <charset val="134"/>
          </rPr>
          <t xml:space="preserve">
由队长评估</t>
        </r>
      </text>
    </comment>
    <comment ref="F11" authorId="0" shapeId="0">
      <text>
        <r>
          <rPr>
            <b/>
            <sz val="9"/>
            <rFont val="宋体"/>
            <charset val="134"/>
          </rPr>
          <t>NIIT:</t>
        </r>
        <r>
          <rPr>
            <sz val="9"/>
            <rFont val="宋体"/>
            <charset val="134"/>
          </rPr>
          <t xml:space="preserve">
由队长评估</t>
        </r>
      </text>
    </comment>
    <comment ref="G11" authorId="0" shapeId="0">
      <text>
        <r>
          <rPr>
            <b/>
            <sz val="9"/>
            <rFont val="宋体"/>
            <charset val="134"/>
          </rPr>
          <t>NIIT:</t>
        </r>
        <r>
          <rPr>
            <sz val="9"/>
            <rFont val="宋体"/>
            <charset val="134"/>
          </rPr>
          <t xml:space="preserve">
由队长评估</t>
        </r>
      </text>
    </comment>
  </commentList>
</comments>
</file>

<file path=xl/sharedStrings.xml><?xml version="1.0" encoding="utf-8"?>
<sst xmlns="http://schemas.openxmlformats.org/spreadsheetml/2006/main" count="383" uniqueCount="58">
  <si>
    <t>开发日报</t>
  </si>
  <si>
    <t>项目名称</t>
  </si>
  <si>
    <t>xxx系统</t>
  </si>
  <si>
    <t>项目描述</t>
  </si>
  <si>
    <r>
      <rPr>
        <sz val="16"/>
        <color theme="0" tint="-0.499984740745262"/>
        <rFont val="等线"/>
        <charset val="134"/>
        <scheme val="minor"/>
      </rPr>
      <t>以下内容由队长负责填写：</t>
    </r>
    <r>
      <rPr>
        <sz val="16"/>
        <color theme="1"/>
        <rFont val="等线"/>
        <charset val="134"/>
        <scheme val="minor"/>
      </rPr>
      <t xml:space="preserve">
本项目是一个基于xxx的xxx系统，xxx</t>
    </r>
  </si>
  <si>
    <t>主要模块和功能</t>
  </si>
  <si>
    <t>主要实现技术</t>
  </si>
  <si>
    <r>
      <rPr>
        <sz val="16"/>
        <color theme="0" tint="-0.499984740745262"/>
        <rFont val="等线"/>
        <charset val="134"/>
        <scheme val="minor"/>
      </rPr>
      <t>以下内容由队长负责填写：</t>
    </r>
    <r>
      <rPr>
        <sz val="16"/>
        <color theme="1"/>
        <rFont val="等线"/>
        <charset val="134"/>
        <scheme val="minor"/>
      </rPr>
      <t xml:space="preserve">
1. html
2. css
3. JavaScript
4. jQuery
5. Bootstrap
6. xxx
7. xxx
8. xxx
…</t>
    </r>
  </si>
  <si>
    <t>组长</t>
  </si>
  <si>
    <t>团队成员</t>
  </si>
  <si>
    <t>任务划分</t>
  </si>
  <si>
    <t>任务完成度</t>
  </si>
  <si>
    <t>任务占比</t>
  </si>
  <si>
    <t>总完成度</t>
  </si>
  <si>
    <t>注：该文档，由组长创建在线共享文档，然后监督促队员的开发进度。</t>
  </si>
  <si>
    <t>相关说明</t>
  </si>
  <si>
    <t>1. 团队成员需要将队长分配的任务模块列到下面的表格中（第1列）
2. 团队成员需要将每一个模块进行细分，评估模块占比（第2列）、预实现技术（第3列）、实现日期（第4列）、每天的实际工作情况（第5-11列）
3. 主要负责模块，由队长负责填写
4. 队员模块在总体项目中所占的比例，有队长负责评估和填写 
5. 任务占比：当前任务在该队员所负责项目中所占的比例，总和为100%
6. 预实现技术：由队员自行评估技术选型
7. 日期：是当前任务计划完成的时间安排。由队员自行评估填写。注：当前队员下的各个任务可能会同时进行，有可能不同任务都在同一天进行，所以，这种情况是允许的。例如，可能出现，任务1和任务2都在2021.12.20完成。
8. 详细编写每天的工作内容：计划、已完成、未完成、心得、问题、明日计划和当日的任务完成度
9. 当日的任务完成度：逐次递进，有小变大，完成时的完成度为100%
10. 总完成度：由公式自行计算。
注：下面是模板，各位队员请自行备份一份备用。然后根据实际情况删减自己的内容（例如任务和日期等），多的删掉，不足的补充。</t>
  </si>
  <si>
    <t>队员姓名</t>
  </si>
  <si>
    <t>张三</t>
  </si>
  <si>
    <t>学号</t>
  </si>
  <si>
    <t>xxxx</t>
  </si>
  <si>
    <t>主要负责模块</t>
  </si>
  <si>
    <t>1. xxx
2. xxx
3. xxx
…</t>
  </si>
  <si>
    <t>队员总完成度</t>
  </si>
  <si>
    <t>任务模块</t>
  </si>
  <si>
    <t>任务（预）实现技术</t>
  </si>
  <si>
    <t>日期</t>
  </si>
  <si>
    <t>计划完成</t>
  </si>
  <si>
    <t>已完成</t>
  </si>
  <si>
    <t>未完成</t>
  </si>
  <si>
    <t>开发心得</t>
  </si>
  <si>
    <t>遇到的问题</t>
  </si>
  <si>
    <t>明日计划</t>
  </si>
  <si>
    <t>当日任务完成度</t>
  </si>
  <si>
    <t>1.xxx</t>
  </si>
  <si>
    <t>html
css
…</t>
  </si>
  <si>
    <t>1. xxx
2. xxx</t>
  </si>
  <si>
    <t>例如：
1. 今天我学到了。。。
2. 我发现用xxx实现xxx确实很好。。。
…</t>
  </si>
  <si>
    <t>例如
1. 无法处理xxx
2. UI效果不好，。。。</t>
  </si>
  <si>
    <t>1. xxx
2. xxx
3. xxx</t>
  </si>
  <si>
    <t>3. xxx</t>
  </si>
  <si>
    <t>2.xxx</t>
  </si>
  <si>
    <t>JavaScript
jQuery
…</t>
  </si>
  <si>
    <t>3.xxx</t>
  </si>
  <si>
    <t>Bootstrap
…</t>
  </si>
  <si>
    <t>1. xxx</t>
  </si>
  <si>
    <t>4.xxx</t>
  </si>
  <si>
    <t>EasyUI
CkPlayer
…</t>
  </si>
  <si>
    <t>5.xxx 例如文档（word、ppt）</t>
  </si>
  <si>
    <t>2. xxx</t>
  </si>
  <si>
    <t>李四</t>
  </si>
  <si>
    <t>王五</t>
  </si>
  <si>
    <t>赵六</t>
  </si>
  <si>
    <r>
      <rPr>
        <sz val="16"/>
        <color theme="0" tint="-0.499984740745262"/>
        <rFont val="等线"/>
        <charset val="134"/>
        <scheme val="minor"/>
      </rPr>
      <t>以下内容由队长负责填写：</t>
    </r>
    <r>
      <rPr>
        <sz val="16"/>
        <color theme="1"/>
        <rFont val="等线"/>
        <charset val="134"/>
        <scheme val="minor"/>
      </rPr>
      <t xml:space="preserve">
1. xxx
2. xxx
3. xxx
4. xxx
5. xxx
6. xxx
7. xxx
…</t>
    </r>
    <phoneticPr fontId="9" type="noConversion"/>
  </si>
  <si>
    <t>1. xxx
2. xxx</t>
    <phoneticPr fontId="9" type="noConversion"/>
  </si>
  <si>
    <t>例如
1. 无法处理xxx
2. UI效果不好，。。。</t>
    <phoneticPr fontId="9" type="noConversion"/>
  </si>
  <si>
    <t>例如：
1. 今天我学到了。。。
2. 我发现用xxx实现xxx确实很好。。。
…</t>
    <phoneticPr fontId="9" type="noConversion"/>
  </si>
  <si>
    <t>例如：
1. 今天我学到了。。。
2. 我发现用xxx实现xxx确实很好。。。
…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</si>
</sst>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6"/>
      <color theme="0" tint="-0.499984740745262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4" fontId="0" fillId="0" borderId="3" xfId="0" applyNumberFormat="1" applyBorder="1" applyAlignment="1">
      <alignment vertical="center"/>
    </xf>
    <xf numFmtId="9" fontId="0" fillId="0" borderId="3" xfId="0" applyNumberFormat="1" applyBorder="1" applyAlignment="1">
      <alignment vertical="center"/>
    </xf>
    <xf numFmtId="0" fontId="2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9" fontId="2" fillId="0" borderId="3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9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G14"/>
  <sheetViews>
    <sheetView zoomScale="85" zoomScaleNormal="85" workbookViewId="0">
      <selection activeCell="C14" sqref="C14:G14"/>
    </sheetView>
  </sheetViews>
  <sheetFormatPr defaultColWidth="9" defaultRowHeight="20.25" x14ac:dyDescent="0.3"/>
  <cols>
    <col min="1" max="2" width="9" style="6"/>
    <col min="3" max="3" width="24.5" style="6" customWidth="1"/>
    <col min="4" max="7" width="42.375" style="6" customWidth="1"/>
    <col min="8" max="16384" width="9" style="6"/>
  </cols>
  <sheetData>
    <row r="2" spans="3:7" ht="30" x14ac:dyDescent="0.3">
      <c r="C2" s="11" t="s">
        <v>0</v>
      </c>
      <c r="D2" s="12"/>
      <c r="E2" s="12"/>
      <c r="F2" s="12"/>
      <c r="G2" s="13"/>
    </row>
    <row r="3" spans="3:7" x14ac:dyDescent="0.3">
      <c r="C3" s="7" t="s">
        <v>1</v>
      </c>
      <c r="D3" s="14" t="s">
        <v>2</v>
      </c>
      <c r="E3" s="15"/>
      <c r="F3" s="15"/>
      <c r="G3" s="16"/>
    </row>
    <row r="4" spans="3:7" ht="145.5" customHeight="1" x14ac:dyDescent="0.3">
      <c r="C4" s="7" t="s">
        <v>3</v>
      </c>
      <c r="D4" s="17" t="s">
        <v>4</v>
      </c>
      <c r="E4" s="18"/>
      <c r="F4" s="18"/>
      <c r="G4" s="18"/>
    </row>
    <row r="5" spans="3:7" ht="194.25" customHeight="1" x14ac:dyDescent="0.3">
      <c r="C5" s="7" t="s">
        <v>5</v>
      </c>
      <c r="D5" s="42" t="s">
        <v>53</v>
      </c>
      <c r="E5" s="17"/>
      <c r="F5" s="17"/>
      <c r="G5" s="17"/>
    </row>
    <row r="6" spans="3:7" ht="225.75" customHeight="1" x14ac:dyDescent="0.3">
      <c r="C6" s="7" t="s">
        <v>6</v>
      </c>
      <c r="D6" s="17" t="s">
        <v>7</v>
      </c>
      <c r="E6" s="17"/>
      <c r="F6" s="17"/>
      <c r="G6" s="17"/>
    </row>
    <row r="7" spans="3:7" x14ac:dyDescent="0.3">
      <c r="C7" s="7" t="s">
        <v>8</v>
      </c>
      <c r="D7" s="18" t="str">
        <f>D8</f>
        <v>张三</v>
      </c>
      <c r="E7" s="18"/>
      <c r="F7" s="18"/>
      <c r="G7" s="18"/>
    </row>
    <row r="8" spans="3:7" x14ac:dyDescent="0.3">
      <c r="C8" s="7" t="s">
        <v>9</v>
      </c>
      <c r="D8" s="9" t="str">
        <f>'开发日报-张三'!D16</f>
        <v>张三</v>
      </c>
      <c r="E8" s="9" t="str">
        <f>'开发日报-李四'!D16</f>
        <v>李四</v>
      </c>
      <c r="F8" s="9" t="str">
        <f>'开发日报-王五'!D16</f>
        <v>王五</v>
      </c>
      <c r="G8" s="9" t="str">
        <f>'开发日报-赵六'!D16</f>
        <v>赵六</v>
      </c>
    </row>
    <row r="9" spans="3:7" ht="81" x14ac:dyDescent="0.3">
      <c r="C9" s="7" t="s">
        <v>10</v>
      </c>
      <c r="D9" s="8" t="str">
        <f>'开发日报-张三'!H16</f>
        <v>1. xxx
2. xxx
3. xxx
…</v>
      </c>
      <c r="E9" s="8" t="str">
        <f>'开发日报-李四'!H16</f>
        <v>1. xxx
2. xxx
3. xxx
…</v>
      </c>
      <c r="F9" s="8" t="str">
        <f>'开发日报-王五'!H16</f>
        <v>1. xxx
2. xxx
3. xxx
…</v>
      </c>
      <c r="G9" s="8" t="str">
        <f>'开发日报-赵六'!H16</f>
        <v>1. xxx
2. xxx
3. xxx
…</v>
      </c>
    </row>
    <row r="10" spans="3:7" x14ac:dyDescent="0.3">
      <c r="C10" s="7" t="s">
        <v>11</v>
      </c>
      <c r="D10" s="10">
        <f>'开发日报-张三'!N16</f>
        <v>0.99999999999999989</v>
      </c>
      <c r="E10" s="10">
        <f>'开发日报-李四'!N16</f>
        <v>0.99999999999999989</v>
      </c>
      <c r="F10" s="10">
        <f>'开发日报-王五'!N16</f>
        <v>0.99999999999999989</v>
      </c>
      <c r="G10" s="10">
        <f>'开发日报-赵六'!N16</f>
        <v>0.99999999999999989</v>
      </c>
    </row>
    <row r="11" spans="3:7" x14ac:dyDescent="0.3">
      <c r="C11" s="7" t="s">
        <v>12</v>
      </c>
      <c r="D11" s="10">
        <v>0.25</v>
      </c>
      <c r="E11" s="10">
        <v>0.25</v>
      </c>
      <c r="F11" s="10">
        <v>0.25</v>
      </c>
      <c r="G11" s="10">
        <v>0.25</v>
      </c>
    </row>
    <row r="12" spans="3:7" x14ac:dyDescent="0.3">
      <c r="C12" s="7" t="s">
        <v>13</v>
      </c>
      <c r="D12" s="19">
        <f>D10*D11+E10*E11+F10*F11+G10*G11</f>
        <v>0.99999999999999989</v>
      </c>
      <c r="E12" s="20"/>
      <c r="F12" s="20"/>
      <c r="G12" s="20"/>
    </row>
    <row r="14" spans="3:7" x14ac:dyDescent="0.3">
      <c r="C14" s="21" t="s">
        <v>14</v>
      </c>
      <c r="D14" s="21"/>
      <c r="E14" s="21"/>
      <c r="F14" s="21"/>
      <c r="G14" s="21"/>
    </row>
  </sheetData>
  <mergeCells count="8">
    <mergeCell ref="D7:G7"/>
    <mergeCell ref="D12:G12"/>
    <mergeCell ref="C14:G14"/>
    <mergeCell ref="C2:G2"/>
    <mergeCell ref="D3:G3"/>
    <mergeCell ref="D4:G4"/>
    <mergeCell ref="D5:G5"/>
    <mergeCell ref="D6:G6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42"/>
  <sheetViews>
    <sheetView tabSelected="1" topLeftCell="A13" zoomScale="85" zoomScaleNormal="85" workbookViewId="0">
      <selection activeCell="J18" sqref="J18"/>
    </sheetView>
  </sheetViews>
  <sheetFormatPr defaultColWidth="9" defaultRowHeight="14.25" x14ac:dyDescent="0.2"/>
  <cols>
    <col min="3" max="3" width="23.875" customWidth="1"/>
    <col min="5" max="5" width="19.25" customWidth="1"/>
    <col min="6" max="6" width="11.125" customWidth="1"/>
    <col min="7" max="7" width="13" customWidth="1"/>
    <col min="10" max="10" width="35" customWidth="1"/>
    <col min="11" max="12" width="24.5" customWidth="1"/>
    <col min="13" max="14" width="15.125" customWidth="1"/>
  </cols>
  <sheetData>
    <row r="3" spans="3:14" ht="23.25" x14ac:dyDescent="0.2">
      <c r="C3" s="22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</row>
    <row r="4" spans="3:14" ht="131.25" customHeight="1" x14ac:dyDescent="0.2">
      <c r="C4" s="28" t="s">
        <v>15</v>
      </c>
      <c r="D4" s="33" t="s">
        <v>16</v>
      </c>
      <c r="E4" s="34"/>
      <c r="F4" s="34"/>
      <c r="G4" s="34"/>
      <c r="H4" s="34"/>
      <c r="I4" s="34"/>
      <c r="J4" s="34"/>
      <c r="K4" s="34"/>
      <c r="L4" s="34"/>
      <c r="M4" s="34"/>
      <c r="N4" s="35"/>
    </row>
    <row r="5" spans="3:14" x14ac:dyDescent="0.2">
      <c r="C5" s="28"/>
      <c r="D5" s="36"/>
      <c r="E5" s="37"/>
      <c r="F5" s="37"/>
      <c r="G5" s="37"/>
      <c r="H5" s="37"/>
      <c r="I5" s="37"/>
      <c r="J5" s="37"/>
      <c r="K5" s="37"/>
      <c r="L5" s="37"/>
      <c r="M5" s="37"/>
      <c r="N5" s="38"/>
    </row>
    <row r="6" spans="3:14" x14ac:dyDescent="0.2">
      <c r="C6" s="28"/>
      <c r="D6" s="36"/>
      <c r="E6" s="37"/>
      <c r="F6" s="37"/>
      <c r="G6" s="37"/>
      <c r="H6" s="37"/>
      <c r="I6" s="37"/>
      <c r="J6" s="37"/>
      <c r="K6" s="37"/>
      <c r="L6" s="37"/>
      <c r="M6" s="37"/>
      <c r="N6" s="38"/>
    </row>
    <row r="7" spans="3:14" x14ac:dyDescent="0.2">
      <c r="C7" s="28"/>
      <c r="D7" s="36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3:14" x14ac:dyDescent="0.2">
      <c r="C8" s="28"/>
      <c r="D8" s="36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3:14" x14ac:dyDescent="0.2">
      <c r="C9" s="28"/>
      <c r="D9" s="36"/>
      <c r="E9" s="37"/>
      <c r="F9" s="37"/>
      <c r="G9" s="37"/>
      <c r="H9" s="37"/>
      <c r="I9" s="37"/>
      <c r="J9" s="37"/>
      <c r="K9" s="37"/>
      <c r="L9" s="37"/>
      <c r="M9" s="37"/>
      <c r="N9" s="38"/>
    </row>
    <row r="10" spans="3:14" x14ac:dyDescent="0.2">
      <c r="C10" s="28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8"/>
    </row>
    <row r="11" spans="3:14" x14ac:dyDescent="0.2">
      <c r="C11" s="28"/>
      <c r="D11" s="36"/>
      <c r="E11" s="37"/>
      <c r="F11" s="37"/>
      <c r="G11" s="37"/>
      <c r="H11" s="37"/>
      <c r="I11" s="37"/>
      <c r="J11" s="37"/>
      <c r="K11" s="37"/>
      <c r="L11" s="37"/>
      <c r="M11" s="37"/>
      <c r="N11" s="38"/>
    </row>
    <row r="12" spans="3:14" x14ac:dyDescent="0.2">
      <c r="C12" s="28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8"/>
    </row>
    <row r="13" spans="3:14" x14ac:dyDescent="0.2">
      <c r="C13" s="28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8"/>
    </row>
    <row r="14" spans="3:14" x14ac:dyDescent="0.2">
      <c r="C14" s="28"/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3:14" x14ac:dyDescent="0.2">
      <c r="C15" s="28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1"/>
    </row>
    <row r="16" spans="3:14" ht="99" customHeight="1" x14ac:dyDescent="0.2">
      <c r="C16" s="1" t="s">
        <v>17</v>
      </c>
      <c r="D16" s="2" t="s">
        <v>18</v>
      </c>
      <c r="E16" s="1" t="s">
        <v>19</v>
      </c>
      <c r="F16" s="2" t="s">
        <v>20</v>
      </c>
      <c r="G16" s="1" t="s">
        <v>21</v>
      </c>
      <c r="H16" s="25" t="s">
        <v>22</v>
      </c>
      <c r="I16" s="26"/>
      <c r="J16" s="26"/>
      <c r="K16" s="26"/>
      <c r="L16" s="27"/>
      <c r="M16" s="1" t="s">
        <v>23</v>
      </c>
      <c r="N16" s="5">
        <f>N18*D18+N23*D23+N28*D28+N33*D33+N38*D38</f>
        <v>0.99999999999999989</v>
      </c>
    </row>
    <row r="17" spans="3:14" x14ac:dyDescent="0.2">
      <c r="C17" s="1" t="s">
        <v>24</v>
      </c>
      <c r="D17" s="1" t="s">
        <v>12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  <c r="L17" s="1" t="s">
        <v>32</v>
      </c>
      <c r="M17" s="1" t="s">
        <v>33</v>
      </c>
      <c r="N17" s="1" t="s">
        <v>11</v>
      </c>
    </row>
    <row r="18" spans="3:14" ht="57" x14ac:dyDescent="0.2">
      <c r="C18" s="29" t="s">
        <v>34</v>
      </c>
      <c r="D18" s="30">
        <v>0.2</v>
      </c>
      <c r="E18" s="43"/>
      <c r="F18" s="4">
        <v>44544</v>
      </c>
      <c r="G18" s="44" t="s">
        <v>54</v>
      </c>
      <c r="H18" s="3" t="s">
        <v>36</v>
      </c>
      <c r="I18" s="2"/>
      <c r="J18" s="44" t="s">
        <v>56</v>
      </c>
      <c r="K18" s="44" t="s">
        <v>55</v>
      </c>
      <c r="L18" s="3" t="s">
        <v>36</v>
      </c>
      <c r="M18" s="5">
        <v>0.1</v>
      </c>
      <c r="N18" s="30">
        <f>MAX(M18:M21)</f>
        <v>1</v>
      </c>
    </row>
    <row r="19" spans="3:14" ht="57" x14ac:dyDescent="0.2">
      <c r="C19" s="29"/>
      <c r="D19" s="31"/>
      <c r="E19" s="29"/>
      <c r="F19" s="4">
        <v>44545</v>
      </c>
      <c r="G19" s="3" t="s">
        <v>39</v>
      </c>
      <c r="H19" s="3" t="s">
        <v>36</v>
      </c>
      <c r="I19" s="2" t="s">
        <v>40</v>
      </c>
      <c r="J19" s="44" t="s">
        <v>57</v>
      </c>
      <c r="K19" s="3" t="s">
        <v>38</v>
      </c>
      <c r="L19" s="3" t="s">
        <v>39</v>
      </c>
      <c r="M19" s="5">
        <v>0.45</v>
      </c>
      <c r="N19" s="30"/>
    </row>
    <row r="20" spans="3:14" ht="57" x14ac:dyDescent="0.2">
      <c r="C20" s="29"/>
      <c r="D20" s="31"/>
      <c r="E20" s="29"/>
      <c r="F20" s="4">
        <v>44546</v>
      </c>
      <c r="G20" s="3" t="s">
        <v>39</v>
      </c>
      <c r="H20" s="3" t="s">
        <v>36</v>
      </c>
      <c r="I20" s="2" t="s">
        <v>40</v>
      </c>
      <c r="J20" s="3" t="s">
        <v>37</v>
      </c>
      <c r="K20" s="3" t="s">
        <v>38</v>
      </c>
      <c r="L20" s="3" t="s">
        <v>39</v>
      </c>
      <c r="M20" s="5">
        <v>1</v>
      </c>
      <c r="N20" s="30"/>
    </row>
    <row r="21" spans="3:14" x14ac:dyDescent="0.2">
      <c r="C21" s="29"/>
      <c r="D21" s="31"/>
      <c r="E21" s="29"/>
      <c r="F21" s="4">
        <v>44547</v>
      </c>
      <c r="G21" s="2"/>
      <c r="H21" s="2"/>
      <c r="I21" s="2"/>
      <c r="J21" s="2"/>
      <c r="K21" s="2"/>
      <c r="L21" s="2"/>
      <c r="M21" s="2"/>
      <c r="N21" s="30"/>
    </row>
    <row r="22" spans="3:14" x14ac:dyDescent="0.2">
      <c r="C22" s="29"/>
      <c r="D22" s="31"/>
      <c r="E22" s="29"/>
      <c r="F22" s="4">
        <v>44548</v>
      </c>
      <c r="G22" s="2"/>
      <c r="H22" s="2"/>
      <c r="I22" s="2"/>
      <c r="J22" s="2"/>
      <c r="K22" s="2"/>
      <c r="L22" s="2"/>
      <c r="M22" s="2"/>
      <c r="N22" s="30"/>
    </row>
    <row r="23" spans="3:14" ht="57" x14ac:dyDescent="0.2">
      <c r="C23" s="29" t="s">
        <v>41</v>
      </c>
      <c r="D23" s="30">
        <v>0.2</v>
      </c>
      <c r="E23" s="32" t="s">
        <v>42</v>
      </c>
      <c r="F23" s="4">
        <v>44544</v>
      </c>
      <c r="G23" s="3" t="s">
        <v>36</v>
      </c>
      <c r="H23" s="3" t="s">
        <v>36</v>
      </c>
      <c r="I23" s="2"/>
      <c r="J23" s="3" t="s">
        <v>37</v>
      </c>
      <c r="K23" s="3" t="s">
        <v>38</v>
      </c>
      <c r="L23" s="3" t="s">
        <v>36</v>
      </c>
      <c r="M23" s="5">
        <v>0.1</v>
      </c>
      <c r="N23" s="30">
        <f t="shared" ref="N23" si="0">MAX(M23:M26)</f>
        <v>1</v>
      </c>
    </row>
    <row r="24" spans="3:14" ht="57" x14ac:dyDescent="0.2">
      <c r="C24" s="29"/>
      <c r="D24" s="31"/>
      <c r="E24" s="29"/>
      <c r="F24" s="4">
        <v>44545</v>
      </c>
      <c r="G24" s="3" t="s">
        <v>36</v>
      </c>
      <c r="H24" s="3" t="s">
        <v>36</v>
      </c>
      <c r="I24" s="2" t="s">
        <v>40</v>
      </c>
      <c r="J24" s="3" t="s">
        <v>37</v>
      </c>
      <c r="K24" s="3" t="s">
        <v>38</v>
      </c>
      <c r="L24" s="3" t="s">
        <v>39</v>
      </c>
      <c r="M24" s="5">
        <v>0.45</v>
      </c>
      <c r="N24" s="30"/>
    </row>
    <row r="25" spans="3:14" ht="28.5" x14ac:dyDescent="0.2">
      <c r="C25" s="29"/>
      <c r="D25" s="31"/>
      <c r="E25" s="29"/>
      <c r="F25" s="4">
        <v>44546</v>
      </c>
      <c r="G25" s="3" t="s">
        <v>36</v>
      </c>
      <c r="H25" s="3" t="s">
        <v>36</v>
      </c>
      <c r="I25" s="2" t="s">
        <v>40</v>
      </c>
      <c r="J25" s="2"/>
      <c r="K25" s="2"/>
      <c r="L25" s="2"/>
      <c r="M25" s="5">
        <v>1</v>
      </c>
      <c r="N25" s="30"/>
    </row>
    <row r="26" spans="3:14" x14ac:dyDescent="0.2">
      <c r="C26" s="29"/>
      <c r="D26" s="31"/>
      <c r="E26" s="29"/>
      <c r="F26" s="4">
        <v>44547</v>
      </c>
      <c r="G26" s="2"/>
      <c r="H26" s="2"/>
      <c r="I26" s="2"/>
      <c r="J26" s="2"/>
      <c r="K26" s="2"/>
      <c r="L26" s="2"/>
      <c r="M26" s="2"/>
      <c r="N26" s="30"/>
    </row>
    <row r="27" spans="3:14" x14ac:dyDescent="0.2">
      <c r="C27" s="29"/>
      <c r="D27" s="31"/>
      <c r="E27" s="29"/>
      <c r="F27" s="4">
        <v>44548</v>
      </c>
      <c r="G27" s="2"/>
      <c r="H27" s="2"/>
      <c r="I27" s="2"/>
      <c r="J27" s="2"/>
      <c r="K27" s="2"/>
      <c r="L27" s="2"/>
      <c r="M27" s="2"/>
      <c r="N27" s="30"/>
    </row>
    <row r="28" spans="3:14" ht="57" x14ac:dyDescent="0.2">
      <c r="C28" s="29" t="s">
        <v>43</v>
      </c>
      <c r="D28" s="30">
        <v>0.3</v>
      </c>
      <c r="E28" s="32" t="s">
        <v>44</v>
      </c>
      <c r="F28" s="4">
        <v>44544</v>
      </c>
      <c r="G28" s="3" t="s">
        <v>36</v>
      </c>
      <c r="H28" s="3" t="s">
        <v>36</v>
      </c>
      <c r="I28" s="2"/>
      <c r="J28" s="3" t="s">
        <v>37</v>
      </c>
      <c r="K28" s="3" t="s">
        <v>38</v>
      </c>
      <c r="L28" s="3" t="s">
        <v>36</v>
      </c>
      <c r="M28" s="5">
        <v>0.1</v>
      </c>
      <c r="N28" s="30">
        <f t="shared" ref="N28" si="1">MAX(M28:M31)</f>
        <v>1</v>
      </c>
    </row>
    <row r="29" spans="3:14" ht="57" x14ac:dyDescent="0.2">
      <c r="C29" s="29"/>
      <c r="D29" s="31"/>
      <c r="E29" s="29"/>
      <c r="F29" s="4">
        <v>44545</v>
      </c>
      <c r="G29" s="3" t="s">
        <v>45</v>
      </c>
      <c r="H29" s="3" t="s">
        <v>36</v>
      </c>
      <c r="I29" s="2" t="s">
        <v>40</v>
      </c>
      <c r="J29" s="3" t="s">
        <v>37</v>
      </c>
      <c r="K29" s="3" t="s">
        <v>38</v>
      </c>
      <c r="L29" s="3" t="s">
        <v>39</v>
      </c>
      <c r="M29" s="5">
        <v>0.45</v>
      </c>
      <c r="N29" s="30"/>
    </row>
    <row r="30" spans="3:14" ht="42.75" x14ac:dyDescent="0.2">
      <c r="C30" s="29"/>
      <c r="D30" s="31"/>
      <c r="E30" s="29"/>
      <c r="F30" s="4">
        <v>44546</v>
      </c>
      <c r="G30" s="3" t="s">
        <v>39</v>
      </c>
      <c r="H30" s="3" t="s">
        <v>36</v>
      </c>
      <c r="I30" s="2" t="s">
        <v>40</v>
      </c>
      <c r="J30" s="2"/>
      <c r="K30" s="2"/>
      <c r="L30" s="2"/>
      <c r="M30" s="5">
        <v>1</v>
      </c>
      <c r="N30" s="30"/>
    </row>
    <row r="31" spans="3:14" x14ac:dyDescent="0.2">
      <c r="C31" s="29"/>
      <c r="D31" s="31"/>
      <c r="E31" s="29"/>
      <c r="F31" s="4">
        <v>44547</v>
      </c>
      <c r="G31" s="2"/>
      <c r="H31" s="2"/>
      <c r="I31" s="2"/>
      <c r="J31" s="2"/>
      <c r="K31" s="2"/>
      <c r="L31" s="2"/>
      <c r="M31" s="2"/>
      <c r="N31" s="30"/>
    </row>
    <row r="32" spans="3:14" x14ac:dyDescent="0.2">
      <c r="C32" s="29"/>
      <c r="D32" s="31"/>
      <c r="E32" s="29"/>
      <c r="F32" s="4">
        <v>44548</v>
      </c>
      <c r="G32" s="2"/>
      <c r="H32" s="2"/>
      <c r="I32" s="2"/>
      <c r="J32" s="2"/>
      <c r="K32" s="2"/>
      <c r="L32" s="2"/>
      <c r="M32" s="2"/>
      <c r="N32" s="30"/>
    </row>
    <row r="33" spans="3:14" ht="14.25" customHeight="1" x14ac:dyDescent="0.2">
      <c r="C33" s="29" t="s">
        <v>46</v>
      </c>
      <c r="D33" s="30">
        <v>0.2</v>
      </c>
      <c r="E33" s="32" t="s">
        <v>47</v>
      </c>
      <c r="F33" s="4">
        <v>44544</v>
      </c>
      <c r="G33" s="3" t="s">
        <v>36</v>
      </c>
      <c r="H33" s="3" t="s">
        <v>36</v>
      </c>
      <c r="I33" s="3"/>
      <c r="J33" s="2"/>
      <c r="K33" s="2"/>
      <c r="L33" s="2"/>
      <c r="M33" s="5">
        <v>0.1</v>
      </c>
      <c r="N33" s="30">
        <f t="shared" ref="N33" si="2">MAX(M33:M36)</f>
        <v>1</v>
      </c>
    </row>
    <row r="34" spans="3:14" x14ac:dyDescent="0.2">
      <c r="C34" s="29"/>
      <c r="D34" s="31"/>
      <c r="E34" s="32"/>
      <c r="F34" s="4">
        <v>44545</v>
      </c>
      <c r="G34" s="3" t="s">
        <v>45</v>
      </c>
      <c r="H34" s="2"/>
      <c r="I34" s="3" t="s">
        <v>45</v>
      </c>
      <c r="J34" s="2"/>
      <c r="K34" s="2"/>
      <c r="L34" s="2"/>
      <c r="M34" s="5">
        <v>0.45</v>
      </c>
      <c r="N34" s="30"/>
    </row>
    <row r="35" spans="3:14" x14ac:dyDescent="0.2">
      <c r="C35" s="29"/>
      <c r="D35" s="31"/>
      <c r="E35" s="32"/>
      <c r="F35" s="4">
        <v>44546</v>
      </c>
      <c r="G35" s="2"/>
      <c r="H35" s="2"/>
      <c r="I35" s="2"/>
      <c r="J35" s="2"/>
      <c r="K35" s="2"/>
      <c r="L35" s="2"/>
      <c r="M35" s="5">
        <v>1</v>
      </c>
      <c r="N35" s="30"/>
    </row>
    <row r="36" spans="3:14" x14ac:dyDescent="0.2">
      <c r="C36" s="29"/>
      <c r="D36" s="31"/>
      <c r="E36" s="32"/>
      <c r="F36" s="4">
        <v>44547</v>
      </c>
      <c r="G36" s="2"/>
      <c r="H36" s="2"/>
      <c r="I36" s="2"/>
      <c r="J36" s="2"/>
      <c r="K36" s="2"/>
      <c r="L36" s="2"/>
      <c r="M36" s="2"/>
      <c r="N36" s="30"/>
    </row>
    <row r="37" spans="3:14" x14ac:dyDescent="0.2">
      <c r="C37" s="29"/>
      <c r="D37" s="31"/>
      <c r="E37" s="32"/>
      <c r="F37" s="4">
        <v>44548</v>
      </c>
      <c r="G37" s="2"/>
      <c r="H37" s="2"/>
      <c r="I37" s="2"/>
      <c r="J37" s="2"/>
      <c r="K37" s="2"/>
      <c r="L37" s="2"/>
      <c r="M37" s="2"/>
      <c r="N37" s="30"/>
    </row>
    <row r="38" spans="3:14" ht="57" x14ac:dyDescent="0.2">
      <c r="C38" s="29" t="s">
        <v>48</v>
      </c>
      <c r="D38" s="30">
        <v>0.1</v>
      </c>
      <c r="E38" s="2"/>
      <c r="F38" s="4">
        <v>44544</v>
      </c>
      <c r="G38" s="3" t="s">
        <v>36</v>
      </c>
      <c r="H38" s="3" t="s">
        <v>45</v>
      </c>
      <c r="I38" s="2" t="s">
        <v>49</v>
      </c>
      <c r="J38" s="3" t="s">
        <v>37</v>
      </c>
      <c r="K38" s="3" t="s">
        <v>38</v>
      </c>
      <c r="L38" s="3" t="s">
        <v>36</v>
      </c>
      <c r="M38" s="5">
        <v>0.1</v>
      </c>
      <c r="N38" s="30">
        <f t="shared" ref="N38" si="3">MAX(M38:M41)</f>
        <v>1</v>
      </c>
    </row>
    <row r="39" spans="3:14" ht="57" x14ac:dyDescent="0.2">
      <c r="C39" s="29"/>
      <c r="D39" s="31"/>
      <c r="E39" s="2"/>
      <c r="F39" s="4">
        <v>44545</v>
      </c>
      <c r="G39" s="3" t="s">
        <v>36</v>
      </c>
      <c r="H39" s="3" t="s">
        <v>45</v>
      </c>
      <c r="I39" s="2" t="s">
        <v>49</v>
      </c>
      <c r="J39" s="3" t="s">
        <v>37</v>
      </c>
      <c r="K39" s="3" t="s">
        <v>38</v>
      </c>
      <c r="L39" s="3" t="s">
        <v>39</v>
      </c>
      <c r="M39" s="5">
        <v>0.45</v>
      </c>
      <c r="N39" s="30"/>
    </row>
    <row r="40" spans="3:14" x14ac:dyDescent="0.2">
      <c r="C40" s="29"/>
      <c r="D40" s="31"/>
      <c r="E40" s="2"/>
      <c r="F40" s="4">
        <v>44546</v>
      </c>
      <c r="G40" s="2"/>
      <c r="H40" s="2"/>
      <c r="I40" s="2"/>
      <c r="J40" s="2"/>
      <c r="K40" s="2"/>
      <c r="L40" s="2"/>
      <c r="M40" s="5">
        <v>1</v>
      </c>
      <c r="N40" s="30"/>
    </row>
    <row r="41" spans="3:14" x14ac:dyDescent="0.2">
      <c r="C41" s="29"/>
      <c r="D41" s="31"/>
      <c r="E41" s="2"/>
      <c r="F41" s="4">
        <v>44547</v>
      </c>
      <c r="G41" s="2"/>
      <c r="H41" s="2"/>
      <c r="I41" s="2"/>
      <c r="J41" s="2"/>
      <c r="K41" s="2"/>
      <c r="L41" s="2"/>
      <c r="M41" s="2"/>
      <c r="N41" s="30"/>
    </row>
    <row r="42" spans="3:14" x14ac:dyDescent="0.2">
      <c r="C42" s="29"/>
      <c r="D42" s="31"/>
      <c r="E42" s="2"/>
      <c r="F42" s="4">
        <v>44548</v>
      </c>
      <c r="G42" s="2"/>
      <c r="H42" s="2"/>
      <c r="I42" s="2"/>
      <c r="J42" s="2"/>
      <c r="K42" s="2"/>
      <c r="L42" s="2"/>
      <c r="M42" s="2"/>
      <c r="N42" s="30"/>
    </row>
  </sheetData>
  <mergeCells count="23">
    <mergeCell ref="N38:N42"/>
    <mergeCell ref="D4:N15"/>
    <mergeCell ref="E28:E32"/>
    <mergeCell ref="E33:E37"/>
    <mergeCell ref="N18:N22"/>
    <mergeCell ref="N23:N27"/>
    <mergeCell ref="N28:N32"/>
    <mergeCell ref="N33:N37"/>
    <mergeCell ref="C28:C32"/>
    <mergeCell ref="C33:C37"/>
    <mergeCell ref="C38:C42"/>
    <mergeCell ref="D18:D22"/>
    <mergeCell ref="D23:D27"/>
    <mergeCell ref="D28:D32"/>
    <mergeCell ref="D33:D37"/>
    <mergeCell ref="D38:D42"/>
    <mergeCell ref="C3:N3"/>
    <mergeCell ref="H16:L16"/>
    <mergeCell ref="C4:C15"/>
    <mergeCell ref="C18:C22"/>
    <mergeCell ref="C23:C27"/>
    <mergeCell ref="E18:E22"/>
    <mergeCell ref="E23:E27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42"/>
  <sheetViews>
    <sheetView topLeftCell="A7" workbookViewId="0">
      <selection activeCell="H16" sqref="H16:L16"/>
    </sheetView>
  </sheetViews>
  <sheetFormatPr defaultColWidth="9" defaultRowHeight="14.25" x14ac:dyDescent="0.2"/>
  <cols>
    <col min="3" max="3" width="23.875" customWidth="1"/>
    <col min="5" max="5" width="19.25" customWidth="1"/>
    <col min="6" max="6" width="11.125" customWidth="1"/>
    <col min="7" max="7" width="13" customWidth="1"/>
    <col min="10" max="10" width="35" customWidth="1"/>
    <col min="11" max="12" width="24.5" customWidth="1"/>
    <col min="13" max="14" width="15.125" customWidth="1"/>
  </cols>
  <sheetData>
    <row r="3" spans="3:14" ht="23.25" x14ac:dyDescent="0.2">
      <c r="C3" s="22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</row>
    <row r="4" spans="3:14" ht="131.25" customHeight="1" x14ac:dyDescent="0.2">
      <c r="C4" s="28" t="s">
        <v>15</v>
      </c>
      <c r="D4" s="33" t="s">
        <v>16</v>
      </c>
      <c r="E4" s="34"/>
      <c r="F4" s="34"/>
      <c r="G4" s="34"/>
      <c r="H4" s="34"/>
      <c r="I4" s="34"/>
      <c r="J4" s="34"/>
      <c r="K4" s="34"/>
      <c r="L4" s="34"/>
      <c r="M4" s="34"/>
      <c r="N4" s="35"/>
    </row>
    <row r="5" spans="3:14" x14ac:dyDescent="0.2">
      <c r="C5" s="28"/>
      <c r="D5" s="36"/>
      <c r="E5" s="37"/>
      <c r="F5" s="37"/>
      <c r="G5" s="37"/>
      <c r="H5" s="37"/>
      <c r="I5" s="37"/>
      <c r="J5" s="37"/>
      <c r="K5" s="37"/>
      <c r="L5" s="37"/>
      <c r="M5" s="37"/>
      <c r="N5" s="38"/>
    </row>
    <row r="6" spans="3:14" x14ac:dyDescent="0.2">
      <c r="C6" s="28"/>
      <c r="D6" s="36"/>
      <c r="E6" s="37"/>
      <c r="F6" s="37"/>
      <c r="G6" s="37"/>
      <c r="H6" s="37"/>
      <c r="I6" s="37"/>
      <c r="J6" s="37"/>
      <c r="K6" s="37"/>
      <c r="L6" s="37"/>
      <c r="M6" s="37"/>
      <c r="N6" s="38"/>
    </row>
    <row r="7" spans="3:14" x14ac:dyDescent="0.2">
      <c r="C7" s="28"/>
      <c r="D7" s="36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3:14" x14ac:dyDescent="0.2">
      <c r="C8" s="28"/>
      <c r="D8" s="36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3:14" x14ac:dyDescent="0.2">
      <c r="C9" s="28"/>
      <c r="D9" s="36"/>
      <c r="E9" s="37"/>
      <c r="F9" s="37"/>
      <c r="G9" s="37"/>
      <c r="H9" s="37"/>
      <c r="I9" s="37"/>
      <c r="J9" s="37"/>
      <c r="K9" s="37"/>
      <c r="L9" s="37"/>
      <c r="M9" s="37"/>
      <c r="N9" s="38"/>
    </row>
    <row r="10" spans="3:14" x14ac:dyDescent="0.2">
      <c r="C10" s="28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8"/>
    </row>
    <row r="11" spans="3:14" x14ac:dyDescent="0.2">
      <c r="C11" s="28"/>
      <c r="D11" s="36"/>
      <c r="E11" s="37"/>
      <c r="F11" s="37"/>
      <c r="G11" s="37"/>
      <c r="H11" s="37"/>
      <c r="I11" s="37"/>
      <c r="J11" s="37"/>
      <c r="K11" s="37"/>
      <c r="L11" s="37"/>
      <c r="M11" s="37"/>
      <c r="N11" s="38"/>
    </row>
    <row r="12" spans="3:14" x14ac:dyDescent="0.2">
      <c r="C12" s="28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8"/>
    </row>
    <row r="13" spans="3:14" x14ac:dyDescent="0.2">
      <c r="C13" s="28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8"/>
    </row>
    <row r="14" spans="3:14" x14ac:dyDescent="0.2">
      <c r="C14" s="28"/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3:14" x14ac:dyDescent="0.2">
      <c r="C15" s="28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1"/>
    </row>
    <row r="16" spans="3:14" ht="99" customHeight="1" x14ac:dyDescent="0.2">
      <c r="C16" s="1" t="s">
        <v>17</v>
      </c>
      <c r="D16" s="2" t="s">
        <v>50</v>
      </c>
      <c r="E16" s="1" t="s">
        <v>19</v>
      </c>
      <c r="F16" s="2" t="s">
        <v>20</v>
      </c>
      <c r="G16" s="1" t="s">
        <v>21</v>
      </c>
      <c r="H16" s="25" t="s">
        <v>22</v>
      </c>
      <c r="I16" s="26"/>
      <c r="J16" s="26"/>
      <c r="K16" s="26"/>
      <c r="L16" s="27"/>
      <c r="M16" s="1" t="s">
        <v>23</v>
      </c>
      <c r="N16" s="5">
        <f>N18*D18+N23*D23+N28*D28+N33*D33+N38*D38</f>
        <v>0.99999999999999989</v>
      </c>
    </row>
    <row r="17" spans="3:14" x14ac:dyDescent="0.2">
      <c r="C17" s="1" t="s">
        <v>24</v>
      </c>
      <c r="D17" s="1" t="s">
        <v>12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  <c r="L17" s="1" t="s">
        <v>32</v>
      </c>
      <c r="M17" s="1" t="s">
        <v>33</v>
      </c>
      <c r="N17" s="1" t="s">
        <v>11</v>
      </c>
    </row>
    <row r="18" spans="3:14" ht="57" x14ac:dyDescent="0.2">
      <c r="C18" s="29" t="s">
        <v>34</v>
      </c>
      <c r="D18" s="30">
        <v>0.2</v>
      </c>
      <c r="E18" s="32" t="s">
        <v>35</v>
      </c>
      <c r="F18" s="4">
        <v>44544</v>
      </c>
      <c r="G18" s="3" t="s">
        <v>36</v>
      </c>
      <c r="H18" s="3" t="s">
        <v>36</v>
      </c>
      <c r="I18" s="2"/>
      <c r="J18" s="3" t="s">
        <v>37</v>
      </c>
      <c r="K18" s="3" t="s">
        <v>38</v>
      </c>
      <c r="L18" s="3" t="s">
        <v>36</v>
      </c>
      <c r="M18" s="5">
        <v>0.1</v>
      </c>
      <c r="N18" s="30">
        <f>MAX(M18:M21)</f>
        <v>1</v>
      </c>
    </row>
    <row r="19" spans="3:14" ht="57" x14ac:dyDescent="0.2">
      <c r="C19" s="29"/>
      <c r="D19" s="31"/>
      <c r="E19" s="29"/>
      <c r="F19" s="4">
        <v>44545</v>
      </c>
      <c r="G19" s="3" t="s">
        <v>39</v>
      </c>
      <c r="H19" s="3" t="s">
        <v>36</v>
      </c>
      <c r="I19" s="2" t="s">
        <v>40</v>
      </c>
      <c r="J19" s="3" t="s">
        <v>37</v>
      </c>
      <c r="K19" s="3" t="s">
        <v>38</v>
      </c>
      <c r="L19" s="3" t="s">
        <v>39</v>
      </c>
      <c r="M19" s="5">
        <v>0.45</v>
      </c>
      <c r="N19" s="30"/>
    </row>
    <row r="20" spans="3:14" ht="57" x14ac:dyDescent="0.2">
      <c r="C20" s="29"/>
      <c r="D20" s="31"/>
      <c r="E20" s="29"/>
      <c r="F20" s="4">
        <v>44546</v>
      </c>
      <c r="G20" s="3" t="s">
        <v>39</v>
      </c>
      <c r="H20" s="3" t="s">
        <v>36</v>
      </c>
      <c r="I20" s="2" t="s">
        <v>40</v>
      </c>
      <c r="J20" s="3" t="s">
        <v>37</v>
      </c>
      <c r="K20" s="3" t="s">
        <v>38</v>
      </c>
      <c r="L20" s="3" t="s">
        <v>39</v>
      </c>
      <c r="M20" s="5">
        <v>1</v>
      </c>
      <c r="N20" s="30"/>
    </row>
    <row r="21" spans="3:14" x14ac:dyDescent="0.2">
      <c r="C21" s="29"/>
      <c r="D21" s="31"/>
      <c r="E21" s="29"/>
      <c r="F21" s="4">
        <v>44547</v>
      </c>
      <c r="G21" s="2"/>
      <c r="H21" s="2"/>
      <c r="I21" s="2"/>
      <c r="J21" s="2"/>
      <c r="K21" s="2"/>
      <c r="L21" s="2"/>
      <c r="M21" s="2"/>
      <c r="N21" s="30"/>
    </row>
    <row r="22" spans="3:14" x14ac:dyDescent="0.2">
      <c r="C22" s="29"/>
      <c r="D22" s="31"/>
      <c r="E22" s="29"/>
      <c r="F22" s="4">
        <v>44548</v>
      </c>
      <c r="G22" s="2"/>
      <c r="H22" s="2"/>
      <c r="I22" s="2"/>
      <c r="J22" s="2"/>
      <c r="K22" s="2"/>
      <c r="L22" s="2"/>
      <c r="M22" s="2"/>
      <c r="N22" s="30"/>
    </row>
    <row r="23" spans="3:14" ht="57" x14ac:dyDescent="0.2">
      <c r="C23" s="29" t="s">
        <v>41</v>
      </c>
      <c r="D23" s="30">
        <v>0.2</v>
      </c>
      <c r="E23" s="32" t="s">
        <v>42</v>
      </c>
      <c r="F23" s="4">
        <v>44544</v>
      </c>
      <c r="G23" s="3" t="s">
        <v>36</v>
      </c>
      <c r="H23" s="3" t="s">
        <v>36</v>
      </c>
      <c r="I23" s="2"/>
      <c r="J23" s="3" t="s">
        <v>37</v>
      </c>
      <c r="K23" s="3" t="s">
        <v>38</v>
      </c>
      <c r="L23" s="3" t="s">
        <v>36</v>
      </c>
      <c r="M23" s="5">
        <v>0.1</v>
      </c>
      <c r="N23" s="30">
        <f t="shared" ref="N23" si="0">MAX(M23:M26)</f>
        <v>1</v>
      </c>
    </row>
    <row r="24" spans="3:14" ht="57" x14ac:dyDescent="0.2">
      <c r="C24" s="29"/>
      <c r="D24" s="31"/>
      <c r="E24" s="29"/>
      <c r="F24" s="4">
        <v>44545</v>
      </c>
      <c r="G24" s="3" t="s">
        <v>36</v>
      </c>
      <c r="H24" s="3" t="s">
        <v>36</v>
      </c>
      <c r="I24" s="2" t="s">
        <v>40</v>
      </c>
      <c r="J24" s="3" t="s">
        <v>37</v>
      </c>
      <c r="K24" s="3" t="s">
        <v>38</v>
      </c>
      <c r="L24" s="3" t="s">
        <v>39</v>
      </c>
      <c r="M24" s="5">
        <v>0.45</v>
      </c>
      <c r="N24" s="30"/>
    </row>
    <row r="25" spans="3:14" ht="28.5" x14ac:dyDescent="0.2">
      <c r="C25" s="29"/>
      <c r="D25" s="31"/>
      <c r="E25" s="29"/>
      <c r="F25" s="4">
        <v>44546</v>
      </c>
      <c r="G25" s="3" t="s">
        <v>36</v>
      </c>
      <c r="H25" s="3" t="s">
        <v>36</v>
      </c>
      <c r="I25" s="2" t="s">
        <v>40</v>
      </c>
      <c r="J25" s="2"/>
      <c r="K25" s="2"/>
      <c r="L25" s="2"/>
      <c r="M25" s="5">
        <v>1</v>
      </c>
      <c r="N25" s="30"/>
    </row>
    <row r="26" spans="3:14" x14ac:dyDescent="0.2">
      <c r="C26" s="29"/>
      <c r="D26" s="31"/>
      <c r="E26" s="29"/>
      <c r="F26" s="4">
        <v>44547</v>
      </c>
      <c r="G26" s="2"/>
      <c r="H26" s="2"/>
      <c r="I26" s="2"/>
      <c r="J26" s="2"/>
      <c r="K26" s="2"/>
      <c r="L26" s="2"/>
      <c r="M26" s="2"/>
      <c r="N26" s="30"/>
    </row>
    <row r="27" spans="3:14" x14ac:dyDescent="0.2">
      <c r="C27" s="29"/>
      <c r="D27" s="31"/>
      <c r="E27" s="29"/>
      <c r="F27" s="4">
        <v>44548</v>
      </c>
      <c r="G27" s="2"/>
      <c r="H27" s="2"/>
      <c r="I27" s="2"/>
      <c r="J27" s="2"/>
      <c r="K27" s="2"/>
      <c r="L27" s="2"/>
      <c r="M27" s="2"/>
      <c r="N27" s="30"/>
    </row>
    <row r="28" spans="3:14" ht="57" x14ac:dyDescent="0.2">
      <c r="C28" s="29" t="s">
        <v>43</v>
      </c>
      <c r="D28" s="30">
        <v>0.3</v>
      </c>
      <c r="E28" s="32" t="s">
        <v>44</v>
      </c>
      <c r="F28" s="4">
        <v>44544</v>
      </c>
      <c r="G28" s="3" t="s">
        <v>36</v>
      </c>
      <c r="H28" s="3" t="s">
        <v>36</v>
      </c>
      <c r="I28" s="2"/>
      <c r="J28" s="3" t="s">
        <v>37</v>
      </c>
      <c r="K28" s="3" t="s">
        <v>38</v>
      </c>
      <c r="L28" s="3" t="s">
        <v>36</v>
      </c>
      <c r="M28" s="5">
        <v>0.1</v>
      </c>
      <c r="N28" s="30">
        <f t="shared" ref="N28" si="1">MAX(M28:M31)</f>
        <v>1</v>
      </c>
    </row>
    <row r="29" spans="3:14" ht="57" x14ac:dyDescent="0.2">
      <c r="C29" s="29"/>
      <c r="D29" s="31"/>
      <c r="E29" s="29"/>
      <c r="F29" s="4">
        <v>44545</v>
      </c>
      <c r="G29" s="3" t="s">
        <v>45</v>
      </c>
      <c r="H29" s="3" t="s">
        <v>36</v>
      </c>
      <c r="I29" s="2" t="s">
        <v>40</v>
      </c>
      <c r="J29" s="3" t="s">
        <v>37</v>
      </c>
      <c r="K29" s="3" t="s">
        <v>38</v>
      </c>
      <c r="L29" s="3" t="s">
        <v>39</v>
      </c>
      <c r="M29" s="5">
        <v>0.45</v>
      </c>
      <c r="N29" s="30"/>
    </row>
    <row r="30" spans="3:14" ht="42.75" x14ac:dyDescent="0.2">
      <c r="C30" s="29"/>
      <c r="D30" s="31"/>
      <c r="E30" s="29"/>
      <c r="F30" s="4">
        <v>44546</v>
      </c>
      <c r="G30" s="3" t="s">
        <v>39</v>
      </c>
      <c r="H30" s="3" t="s">
        <v>36</v>
      </c>
      <c r="I30" s="2" t="s">
        <v>40</v>
      </c>
      <c r="J30" s="2"/>
      <c r="K30" s="2"/>
      <c r="L30" s="2"/>
      <c r="M30" s="5">
        <v>1</v>
      </c>
      <c r="N30" s="30"/>
    </row>
    <row r="31" spans="3:14" x14ac:dyDescent="0.2">
      <c r="C31" s="29"/>
      <c r="D31" s="31"/>
      <c r="E31" s="29"/>
      <c r="F31" s="4">
        <v>44547</v>
      </c>
      <c r="G31" s="2"/>
      <c r="H31" s="2"/>
      <c r="I31" s="2"/>
      <c r="J31" s="2"/>
      <c r="K31" s="2"/>
      <c r="L31" s="2"/>
      <c r="M31" s="2"/>
      <c r="N31" s="30"/>
    </row>
    <row r="32" spans="3:14" x14ac:dyDescent="0.2">
      <c r="C32" s="29"/>
      <c r="D32" s="31"/>
      <c r="E32" s="29"/>
      <c r="F32" s="4">
        <v>44548</v>
      </c>
      <c r="G32" s="2"/>
      <c r="H32" s="2"/>
      <c r="I32" s="2"/>
      <c r="J32" s="2"/>
      <c r="K32" s="2"/>
      <c r="L32" s="2"/>
      <c r="M32" s="2"/>
      <c r="N32" s="30"/>
    </row>
    <row r="33" spans="3:14" ht="14.25" customHeight="1" x14ac:dyDescent="0.2">
      <c r="C33" s="29" t="s">
        <v>46</v>
      </c>
      <c r="D33" s="30">
        <v>0.2</v>
      </c>
      <c r="E33" s="32" t="s">
        <v>47</v>
      </c>
      <c r="F33" s="4">
        <v>44544</v>
      </c>
      <c r="G33" s="3" t="s">
        <v>36</v>
      </c>
      <c r="H33" s="3" t="s">
        <v>36</v>
      </c>
      <c r="I33" s="3"/>
      <c r="J33" s="2"/>
      <c r="K33" s="2"/>
      <c r="L33" s="2"/>
      <c r="M33" s="5">
        <v>0.1</v>
      </c>
      <c r="N33" s="30">
        <f t="shared" ref="N33" si="2">MAX(M33:M36)</f>
        <v>1</v>
      </c>
    </row>
    <row r="34" spans="3:14" x14ac:dyDescent="0.2">
      <c r="C34" s="29"/>
      <c r="D34" s="31"/>
      <c r="E34" s="32"/>
      <c r="F34" s="4">
        <v>44545</v>
      </c>
      <c r="G34" s="3" t="s">
        <v>45</v>
      </c>
      <c r="H34" s="2"/>
      <c r="I34" s="3" t="s">
        <v>45</v>
      </c>
      <c r="J34" s="2"/>
      <c r="K34" s="2"/>
      <c r="L34" s="2"/>
      <c r="M34" s="5">
        <v>0.45</v>
      </c>
      <c r="N34" s="30"/>
    </row>
    <row r="35" spans="3:14" x14ac:dyDescent="0.2">
      <c r="C35" s="29"/>
      <c r="D35" s="31"/>
      <c r="E35" s="32"/>
      <c r="F35" s="4">
        <v>44546</v>
      </c>
      <c r="G35" s="2"/>
      <c r="H35" s="2"/>
      <c r="I35" s="2"/>
      <c r="J35" s="2"/>
      <c r="K35" s="2"/>
      <c r="L35" s="2"/>
      <c r="M35" s="5">
        <v>1</v>
      </c>
      <c r="N35" s="30"/>
    </row>
    <row r="36" spans="3:14" x14ac:dyDescent="0.2">
      <c r="C36" s="29"/>
      <c r="D36" s="31"/>
      <c r="E36" s="32"/>
      <c r="F36" s="4">
        <v>44547</v>
      </c>
      <c r="G36" s="2"/>
      <c r="H36" s="2"/>
      <c r="I36" s="2"/>
      <c r="J36" s="2"/>
      <c r="K36" s="2"/>
      <c r="L36" s="2"/>
      <c r="M36" s="2"/>
      <c r="N36" s="30"/>
    </row>
    <row r="37" spans="3:14" x14ac:dyDescent="0.2">
      <c r="C37" s="29"/>
      <c r="D37" s="31"/>
      <c r="E37" s="32"/>
      <c r="F37" s="4">
        <v>44548</v>
      </c>
      <c r="G37" s="2"/>
      <c r="H37" s="2"/>
      <c r="I37" s="2"/>
      <c r="J37" s="2"/>
      <c r="K37" s="2"/>
      <c r="L37" s="2"/>
      <c r="M37" s="2"/>
      <c r="N37" s="30"/>
    </row>
    <row r="38" spans="3:14" ht="57" x14ac:dyDescent="0.2">
      <c r="C38" s="29" t="s">
        <v>48</v>
      </c>
      <c r="D38" s="30">
        <v>0.1</v>
      </c>
      <c r="E38" s="2"/>
      <c r="F38" s="4">
        <v>44544</v>
      </c>
      <c r="G38" s="3" t="s">
        <v>36</v>
      </c>
      <c r="H38" s="3" t="s">
        <v>45</v>
      </c>
      <c r="I38" s="2" t="s">
        <v>49</v>
      </c>
      <c r="J38" s="3" t="s">
        <v>37</v>
      </c>
      <c r="K38" s="3" t="s">
        <v>38</v>
      </c>
      <c r="L38" s="3" t="s">
        <v>36</v>
      </c>
      <c r="M38" s="5">
        <v>0.1</v>
      </c>
      <c r="N38" s="30">
        <f t="shared" ref="N38" si="3">MAX(M38:M41)</f>
        <v>1</v>
      </c>
    </row>
    <row r="39" spans="3:14" ht="57" x14ac:dyDescent="0.2">
      <c r="C39" s="29"/>
      <c r="D39" s="31"/>
      <c r="E39" s="2"/>
      <c r="F39" s="4">
        <v>44545</v>
      </c>
      <c r="G39" s="3" t="s">
        <v>36</v>
      </c>
      <c r="H39" s="3" t="s">
        <v>45</v>
      </c>
      <c r="I39" s="2" t="s">
        <v>49</v>
      </c>
      <c r="J39" s="3" t="s">
        <v>37</v>
      </c>
      <c r="K39" s="3" t="s">
        <v>38</v>
      </c>
      <c r="L39" s="3" t="s">
        <v>39</v>
      </c>
      <c r="M39" s="5">
        <v>0.45</v>
      </c>
      <c r="N39" s="30"/>
    </row>
    <row r="40" spans="3:14" x14ac:dyDescent="0.2">
      <c r="C40" s="29"/>
      <c r="D40" s="31"/>
      <c r="E40" s="2"/>
      <c r="F40" s="4">
        <v>44546</v>
      </c>
      <c r="G40" s="2"/>
      <c r="H40" s="2"/>
      <c r="I40" s="2"/>
      <c r="J40" s="2"/>
      <c r="K40" s="2"/>
      <c r="L40" s="2"/>
      <c r="M40" s="5">
        <v>1</v>
      </c>
      <c r="N40" s="30"/>
    </row>
    <row r="41" spans="3:14" x14ac:dyDescent="0.2">
      <c r="C41" s="29"/>
      <c r="D41" s="31"/>
      <c r="E41" s="2"/>
      <c r="F41" s="4">
        <v>44547</v>
      </c>
      <c r="G41" s="2"/>
      <c r="H41" s="2"/>
      <c r="I41" s="2"/>
      <c r="J41" s="2"/>
      <c r="K41" s="2"/>
      <c r="L41" s="2"/>
      <c r="M41" s="2"/>
      <c r="N41" s="30"/>
    </row>
    <row r="42" spans="3:14" x14ac:dyDescent="0.2">
      <c r="C42" s="29"/>
      <c r="D42" s="31"/>
      <c r="E42" s="2"/>
      <c r="F42" s="4">
        <v>44548</v>
      </c>
      <c r="G42" s="2"/>
      <c r="H42" s="2"/>
      <c r="I42" s="2"/>
      <c r="J42" s="2"/>
      <c r="K42" s="2"/>
      <c r="L42" s="2"/>
      <c r="M42" s="2"/>
      <c r="N42" s="30"/>
    </row>
  </sheetData>
  <mergeCells count="23">
    <mergeCell ref="N38:N42"/>
    <mergeCell ref="D4:N15"/>
    <mergeCell ref="E28:E32"/>
    <mergeCell ref="E33:E37"/>
    <mergeCell ref="N18:N22"/>
    <mergeCell ref="N23:N27"/>
    <mergeCell ref="N28:N32"/>
    <mergeCell ref="N33:N37"/>
    <mergeCell ref="C28:C32"/>
    <mergeCell ref="C33:C37"/>
    <mergeCell ref="C38:C42"/>
    <mergeCell ref="D18:D22"/>
    <mergeCell ref="D23:D27"/>
    <mergeCell ref="D28:D32"/>
    <mergeCell ref="D33:D37"/>
    <mergeCell ref="D38:D42"/>
    <mergeCell ref="C3:N3"/>
    <mergeCell ref="H16:L16"/>
    <mergeCell ref="C4:C15"/>
    <mergeCell ref="C18:C22"/>
    <mergeCell ref="C23:C27"/>
    <mergeCell ref="E18:E22"/>
    <mergeCell ref="E23:E27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42"/>
  <sheetViews>
    <sheetView topLeftCell="A21" workbookViewId="0">
      <selection activeCell="H16" sqref="H16:L16"/>
    </sheetView>
  </sheetViews>
  <sheetFormatPr defaultColWidth="9" defaultRowHeight="14.25" x14ac:dyDescent="0.2"/>
  <cols>
    <col min="3" max="3" width="23.875" customWidth="1"/>
    <col min="5" max="5" width="19.25" customWidth="1"/>
    <col min="6" max="6" width="11.125" customWidth="1"/>
    <col min="7" max="7" width="13" customWidth="1"/>
    <col min="10" max="10" width="35" customWidth="1"/>
    <col min="11" max="12" width="24.5" customWidth="1"/>
    <col min="13" max="14" width="15.125" customWidth="1"/>
  </cols>
  <sheetData>
    <row r="3" spans="3:14" ht="23.25" x14ac:dyDescent="0.2">
      <c r="C3" s="22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</row>
    <row r="4" spans="3:14" ht="131.25" customHeight="1" x14ac:dyDescent="0.2">
      <c r="C4" s="28" t="s">
        <v>15</v>
      </c>
      <c r="D4" s="33" t="s">
        <v>16</v>
      </c>
      <c r="E4" s="34"/>
      <c r="F4" s="34"/>
      <c r="G4" s="34"/>
      <c r="H4" s="34"/>
      <c r="I4" s="34"/>
      <c r="J4" s="34"/>
      <c r="K4" s="34"/>
      <c r="L4" s="34"/>
      <c r="M4" s="34"/>
      <c r="N4" s="35"/>
    </row>
    <row r="5" spans="3:14" x14ac:dyDescent="0.2">
      <c r="C5" s="28"/>
      <c r="D5" s="36"/>
      <c r="E5" s="37"/>
      <c r="F5" s="37"/>
      <c r="G5" s="37"/>
      <c r="H5" s="37"/>
      <c r="I5" s="37"/>
      <c r="J5" s="37"/>
      <c r="K5" s="37"/>
      <c r="L5" s="37"/>
      <c r="M5" s="37"/>
      <c r="N5" s="38"/>
    </row>
    <row r="6" spans="3:14" x14ac:dyDescent="0.2">
      <c r="C6" s="28"/>
      <c r="D6" s="36"/>
      <c r="E6" s="37"/>
      <c r="F6" s="37"/>
      <c r="G6" s="37"/>
      <c r="H6" s="37"/>
      <c r="I6" s="37"/>
      <c r="J6" s="37"/>
      <c r="K6" s="37"/>
      <c r="L6" s="37"/>
      <c r="M6" s="37"/>
      <c r="N6" s="38"/>
    </row>
    <row r="7" spans="3:14" x14ac:dyDescent="0.2">
      <c r="C7" s="28"/>
      <c r="D7" s="36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3:14" x14ac:dyDescent="0.2">
      <c r="C8" s="28"/>
      <c r="D8" s="36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3:14" x14ac:dyDescent="0.2">
      <c r="C9" s="28"/>
      <c r="D9" s="36"/>
      <c r="E9" s="37"/>
      <c r="F9" s="37"/>
      <c r="G9" s="37"/>
      <c r="H9" s="37"/>
      <c r="I9" s="37"/>
      <c r="J9" s="37"/>
      <c r="K9" s="37"/>
      <c r="L9" s="37"/>
      <c r="M9" s="37"/>
      <c r="N9" s="38"/>
    </row>
    <row r="10" spans="3:14" x14ac:dyDescent="0.2">
      <c r="C10" s="28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8"/>
    </row>
    <row r="11" spans="3:14" x14ac:dyDescent="0.2">
      <c r="C11" s="28"/>
      <c r="D11" s="36"/>
      <c r="E11" s="37"/>
      <c r="F11" s="37"/>
      <c r="G11" s="37"/>
      <c r="H11" s="37"/>
      <c r="I11" s="37"/>
      <c r="J11" s="37"/>
      <c r="K11" s="37"/>
      <c r="L11" s="37"/>
      <c r="M11" s="37"/>
      <c r="N11" s="38"/>
    </row>
    <row r="12" spans="3:14" x14ac:dyDescent="0.2">
      <c r="C12" s="28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8"/>
    </row>
    <row r="13" spans="3:14" x14ac:dyDescent="0.2">
      <c r="C13" s="28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8"/>
    </row>
    <row r="14" spans="3:14" x14ac:dyDescent="0.2">
      <c r="C14" s="28"/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3:14" x14ac:dyDescent="0.2">
      <c r="C15" s="28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1"/>
    </row>
    <row r="16" spans="3:14" ht="99" customHeight="1" x14ac:dyDescent="0.2">
      <c r="C16" s="1" t="s">
        <v>17</v>
      </c>
      <c r="D16" s="2" t="s">
        <v>51</v>
      </c>
      <c r="E16" s="1" t="s">
        <v>19</v>
      </c>
      <c r="F16" s="2" t="s">
        <v>20</v>
      </c>
      <c r="G16" s="1" t="s">
        <v>21</v>
      </c>
      <c r="H16" s="25" t="s">
        <v>22</v>
      </c>
      <c r="I16" s="26"/>
      <c r="J16" s="26"/>
      <c r="K16" s="26"/>
      <c r="L16" s="27"/>
      <c r="M16" s="1" t="s">
        <v>23</v>
      </c>
      <c r="N16" s="5">
        <f>N18*D18+N23*D23+N28*D28+N33*D33+N38*D38</f>
        <v>0.99999999999999989</v>
      </c>
    </row>
    <row r="17" spans="3:14" x14ac:dyDescent="0.2">
      <c r="C17" s="1" t="s">
        <v>24</v>
      </c>
      <c r="D17" s="1" t="s">
        <v>12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  <c r="L17" s="1" t="s">
        <v>32</v>
      </c>
      <c r="M17" s="1" t="s">
        <v>33</v>
      </c>
      <c r="N17" s="1" t="s">
        <v>11</v>
      </c>
    </row>
    <row r="18" spans="3:14" ht="57" x14ac:dyDescent="0.2">
      <c r="C18" s="29" t="s">
        <v>34</v>
      </c>
      <c r="D18" s="30">
        <v>0.2</v>
      </c>
      <c r="E18" s="32" t="s">
        <v>35</v>
      </c>
      <c r="F18" s="4">
        <v>44544</v>
      </c>
      <c r="G18" s="3" t="s">
        <v>36</v>
      </c>
      <c r="H18" s="3" t="s">
        <v>36</v>
      </c>
      <c r="I18" s="2"/>
      <c r="J18" s="3" t="s">
        <v>37</v>
      </c>
      <c r="K18" s="3" t="s">
        <v>38</v>
      </c>
      <c r="L18" s="3" t="s">
        <v>36</v>
      </c>
      <c r="M18" s="5">
        <v>0.1</v>
      </c>
      <c r="N18" s="30">
        <f>MAX(M18:M21)</f>
        <v>1</v>
      </c>
    </row>
    <row r="19" spans="3:14" ht="57" x14ac:dyDescent="0.2">
      <c r="C19" s="29"/>
      <c r="D19" s="31"/>
      <c r="E19" s="29"/>
      <c r="F19" s="4">
        <v>44545</v>
      </c>
      <c r="G19" s="3" t="s">
        <v>39</v>
      </c>
      <c r="H19" s="3" t="s">
        <v>36</v>
      </c>
      <c r="I19" s="2" t="s">
        <v>40</v>
      </c>
      <c r="J19" s="3" t="s">
        <v>37</v>
      </c>
      <c r="K19" s="3" t="s">
        <v>38</v>
      </c>
      <c r="L19" s="3" t="s">
        <v>39</v>
      </c>
      <c r="M19" s="5">
        <v>0.45</v>
      </c>
      <c r="N19" s="30"/>
    </row>
    <row r="20" spans="3:14" ht="57" x14ac:dyDescent="0.2">
      <c r="C20" s="29"/>
      <c r="D20" s="31"/>
      <c r="E20" s="29"/>
      <c r="F20" s="4">
        <v>44546</v>
      </c>
      <c r="G20" s="3" t="s">
        <v>39</v>
      </c>
      <c r="H20" s="3" t="s">
        <v>36</v>
      </c>
      <c r="I20" s="2" t="s">
        <v>40</v>
      </c>
      <c r="J20" s="3" t="s">
        <v>37</v>
      </c>
      <c r="K20" s="3" t="s">
        <v>38</v>
      </c>
      <c r="L20" s="3" t="s">
        <v>39</v>
      </c>
      <c r="M20" s="5">
        <v>1</v>
      </c>
      <c r="N20" s="30"/>
    </row>
    <row r="21" spans="3:14" x14ac:dyDescent="0.2">
      <c r="C21" s="29"/>
      <c r="D21" s="31"/>
      <c r="E21" s="29"/>
      <c r="F21" s="4">
        <v>44547</v>
      </c>
      <c r="G21" s="2"/>
      <c r="H21" s="2"/>
      <c r="I21" s="2"/>
      <c r="J21" s="2"/>
      <c r="K21" s="2"/>
      <c r="L21" s="2"/>
      <c r="M21" s="2"/>
      <c r="N21" s="30"/>
    </row>
    <row r="22" spans="3:14" x14ac:dyDescent="0.2">
      <c r="C22" s="29"/>
      <c r="D22" s="31"/>
      <c r="E22" s="29"/>
      <c r="F22" s="4">
        <v>44548</v>
      </c>
      <c r="G22" s="2"/>
      <c r="H22" s="2"/>
      <c r="I22" s="2"/>
      <c r="J22" s="2"/>
      <c r="K22" s="2"/>
      <c r="L22" s="2"/>
      <c r="M22" s="2"/>
      <c r="N22" s="30"/>
    </row>
    <row r="23" spans="3:14" ht="57" x14ac:dyDescent="0.2">
      <c r="C23" s="29" t="s">
        <v>41</v>
      </c>
      <c r="D23" s="30">
        <v>0.2</v>
      </c>
      <c r="E23" s="32" t="s">
        <v>42</v>
      </c>
      <c r="F23" s="4">
        <v>44544</v>
      </c>
      <c r="G23" s="3" t="s">
        <v>36</v>
      </c>
      <c r="H23" s="3" t="s">
        <v>36</v>
      </c>
      <c r="I23" s="2"/>
      <c r="J23" s="3" t="s">
        <v>37</v>
      </c>
      <c r="K23" s="3" t="s">
        <v>38</v>
      </c>
      <c r="L23" s="3" t="s">
        <v>36</v>
      </c>
      <c r="M23" s="5">
        <v>0.1</v>
      </c>
      <c r="N23" s="30">
        <f t="shared" ref="N23" si="0">MAX(M23:M26)</f>
        <v>1</v>
      </c>
    </row>
    <row r="24" spans="3:14" ht="57" x14ac:dyDescent="0.2">
      <c r="C24" s="29"/>
      <c r="D24" s="31"/>
      <c r="E24" s="29"/>
      <c r="F24" s="4">
        <v>44545</v>
      </c>
      <c r="G24" s="3" t="s">
        <v>36</v>
      </c>
      <c r="H24" s="3" t="s">
        <v>36</v>
      </c>
      <c r="I24" s="2" t="s">
        <v>40</v>
      </c>
      <c r="J24" s="3" t="s">
        <v>37</v>
      </c>
      <c r="K24" s="3" t="s">
        <v>38</v>
      </c>
      <c r="L24" s="3" t="s">
        <v>39</v>
      </c>
      <c r="M24" s="5">
        <v>0.45</v>
      </c>
      <c r="N24" s="30"/>
    </row>
    <row r="25" spans="3:14" ht="28.5" x14ac:dyDescent="0.2">
      <c r="C25" s="29"/>
      <c r="D25" s="31"/>
      <c r="E25" s="29"/>
      <c r="F25" s="4">
        <v>44546</v>
      </c>
      <c r="G25" s="3" t="s">
        <v>36</v>
      </c>
      <c r="H25" s="3" t="s">
        <v>36</v>
      </c>
      <c r="I25" s="2" t="s">
        <v>40</v>
      </c>
      <c r="J25" s="2"/>
      <c r="K25" s="2"/>
      <c r="L25" s="2"/>
      <c r="M25" s="5">
        <v>1</v>
      </c>
      <c r="N25" s="30"/>
    </row>
    <row r="26" spans="3:14" x14ac:dyDescent="0.2">
      <c r="C26" s="29"/>
      <c r="D26" s="31"/>
      <c r="E26" s="29"/>
      <c r="F26" s="4">
        <v>44547</v>
      </c>
      <c r="G26" s="2"/>
      <c r="H26" s="2"/>
      <c r="I26" s="2"/>
      <c r="J26" s="2"/>
      <c r="K26" s="2"/>
      <c r="L26" s="2"/>
      <c r="M26" s="2"/>
      <c r="N26" s="30"/>
    </row>
    <row r="27" spans="3:14" x14ac:dyDescent="0.2">
      <c r="C27" s="29"/>
      <c r="D27" s="31"/>
      <c r="E27" s="29"/>
      <c r="F27" s="4">
        <v>44548</v>
      </c>
      <c r="G27" s="2"/>
      <c r="H27" s="2"/>
      <c r="I27" s="2"/>
      <c r="J27" s="2"/>
      <c r="K27" s="2"/>
      <c r="L27" s="2"/>
      <c r="M27" s="2"/>
      <c r="N27" s="30"/>
    </row>
    <row r="28" spans="3:14" ht="57" x14ac:dyDescent="0.2">
      <c r="C28" s="29" t="s">
        <v>43</v>
      </c>
      <c r="D28" s="30">
        <v>0.3</v>
      </c>
      <c r="E28" s="32" t="s">
        <v>44</v>
      </c>
      <c r="F28" s="4">
        <v>44544</v>
      </c>
      <c r="G28" s="3" t="s">
        <v>36</v>
      </c>
      <c r="H28" s="3" t="s">
        <v>36</v>
      </c>
      <c r="I28" s="2"/>
      <c r="J28" s="3" t="s">
        <v>37</v>
      </c>
      <c r="K28" s="3" t="s">
        <v>38</v>
      </c>
      <c r="L28" s="3" t="s">
        <v>36</v>
      </c>
      <c r="M28" s="5">
        <v>0.1</v>
      </c>
      <c r="N28" s="30">
        <f t="shared" ref="N28" si="1">MAX(M28:M31)</f>
        <v>1</v>
      </c>
    </row>
    <row r="29" spans="3:14" ht="57" x14ac:dyDescent="0.2">
      <c r="C29" s="29"/>
      <c r="D29" s="31"/>
      <c r="E29" s="29"/>
      <c r="F29" s="4">
        <v>44545</v>
      </c>
      <c r="G29" s="3" t="s">
        <v>45</v>
      </c>
      <c r="H29" s="3" t="s">
        <v>36</v>
      </c>
      <c r="I29" s="2" t="s">
        <v>40</v>
      </c>
      <c r="J29" s="3" t="s">
        <v>37</v>
      </c>
      <c r="K29" s="3" t="s">
        <v>38</v>
      </c>
      <c r="L29" s="3" t="s">
        <v>39</v>
      </c>
      <c r="M29" s="5">
        <v>0.45</v>
      </c>
      <c r="N29" s="30"/>
    </row>
    <row r="30" spans="3:14" ht="42.75" x14ac:dyDescent="0.2">
      <c r="C30" s="29"/>
      <c r="D30" s="31"/>
      <c r="E30" s="29"/>
      <c r="F30" s="4">
        <v>44546</v>
      </c>
      <c r="G30" s="3" t="s">
        <v>39</v>
      </c>
      <c r="H30" s="3" t="s">
        <v>36</v>
      </c>
      <c r="I30" s="2" t="s">
        <v>40</v>
      </c>
      <c r="J30" s="2"/>
      <c r="K30" s="2"/>
      <c r="L30" s="2"/>
      <c r="M30" s="5">
        <v>1</v>
      </c>
      <c r="N30" s="30"/>
    </row>
    <row r="31" spans="3:14" x14ac:dyDescent="0.2">
      <c r="C31" s="29"/>
      <c r="D31" s="31"/>
      <c r="E31" s="29"/>
      <c r="F31" s="4">
        <v>44547</v>
      </c>
      <c r="G31" s="2"/>
      <c r="H31" s="2"/>
      <c r="I31" s="2"/>
      <c r="J31" s="2"/>
      <c r="K31" s="2"/>
      <c r="L31" s="2"/>
      <c r="M31" s="2"/>
      <c r="N31" s="30"/>
    </row>
    <row r="32" spans="3:14" x14ac:dyDescent="0.2">
      <c r="C32" s="29"/>
      <c r="D32" s="31"/>
      <c r="E32" s="29"/>
      <c r="F32" s="4">
        <v>44548</v>
      </c>
      <c r="G32" s="2"/>
      <c r="H32" s="2"/>
      <c r="I32" s="2"/>
      <c r="J32" s="2"/>
      <c r="K32" s="2"/>
      <c r="L32" s="2"/>
      <c r="M32" s="2"/>
      <c r="N32" s="30"/>
    </row>
    <row r="33" spans="3:14" ht="14.25" customHeight="1" x14ac:dyDescent="0.2">
      <c r="C33" s="29" t="s">
        <v>46</v>
      </c>
      <c r="D33" s="30">
        <v>0.2</v>
      </c>
      <c r="E33" s="32" t="s">
        <v>47</v>
      </c>
      <c r="F33" s="4">
        <v>44544</v>
      </c>
      <c r="G33" s="3" t="s">
        <v>36</v>
      </c>
      <c r="H33" s="3" t="s">
        <v>36</v>
      </c>
      <c r="I33" s="3"/>
      <c r="J33" s="2"/>
      <c r="K33" s="2"/>
      <c r="L33" s="2"/>
      <c r="M33" s="5">
        <v>0.1</v>
      </c>
      <c r="N33" s="30">
        <f t="shared" ref="N33" si="2">MAX(M33:M36)</f>
        <v>1</v>
      </c>
    </row>
    <row r="34" spans="3:14" x14ac:dyDescent="0.2">
      <c r="C34" s="29"/>
      <c r="D34" s="31"/>
      <c r="E34" s="32"/>
      <c r="F34" s="4">
        <v>44545</v>
      </c>
      <c r="G34" s="3" t="s">
        <v>45</v>
      </c>
      <c r="H34" s="2"/>
      <c r="I34" s="3" t="s">
        <v>45</v>
      </c>
      <c r="J34" s="2"/>
      <c r="K34" s="2"/>
      <c r="L34" s="2"/>
      <c r="M34" s="5">
        <v>0.45</v>
      </c>
      <c r="N34" s="30"/>
    </row>
    <row r="35" spans="3:14" x14ac:dyDescent="0.2">
      <c r="C35" s="29"/>
      <c r="D35" s="31"/>
      <c r="E35" s="32"/>
      <c r="F35" s="4">
        <v>44546</v>
      </c>
      <c r="G35" s="2"/>
      <c r="H35" s="2"/>
      <c r="I35" s="2"/>
      <c r="J35" s="2"/>
      <c r="K35" s="2"/>
      <c r="L35" s="2"/>
      <c r="M35" s="5">
        <v>1</v>
      </c>
      <c r="N35" s="30"/>
    </row>
    <row r="36" spans="3:14" x14ac:dyDescent="0.2">
      <c r="C36" s="29"/>
      <c r="D36" s="31"/>
      <c r="E36" s="32"/>
      <c r="F36" s="4">
        <v>44547</v>
      </c>
      <c r="G36" s="2"/>
      <c r="H36" s="2"/>
      <c r="I36" s="2"/>
      <c r="J36" s="2"/>
      <c r="K36" s="2"/>
      <c r="L36" s="2"/>
      <c r="M36" s="2"/>
      <c r="N36" s="30"/>
    </row>
    <row r="37" spans="3:14" x14ac:dyDescent="0.2">
      <c r="C37" s="29"/>
      <c r="D37" s="31"/>
      <c r="E37" s="32"/>
      <c r="F37" s="4">
        <v>44548</v>
      </c>
      <c r="G37" s="2"/>
      <c r="H37" s="2"/>
      <c r="I37" s="2"/>
      <c r="J37" s="2"/>
      <c r="K37" s="2"/>
      <c r="L37" s="2"/>
      <c r="M37" s="2"/>
      <c r="N37" s="30"/>
    </row>
    <row r="38" spans="3:14" ht="57" x14ac:dyDescent="0.2">
      <c r="C38" s="29" t="s">
        <v>48</v>
      </c>
      <c r="D38" s="30">
        <v>0.1</v>
      </c>
      <c r="E38" s="2"/>
      <c r="F38" s="4">
        <v>44544</v>
      </c>
      <c r="G38" s="3" t="s">
        <v>36</v>
      </c>
      <c r="H38" s="3" t="s">
        <v>45</v>
      </c>
      <c r="I38" s="2" t="s">
        <v>49</v>
      </c>
      <c r="J38" s="3" t="s">
        <v>37</v>
      </c>
      <c r="K38" s="3" t="s">
        <v>38</v>
      </c>
      <c r="L38" s="3" t="s">
        <v>36</v>
      </c>
      <c r="M38" s="5">
        <v>0.1</v>
      </c>
      <c r="N38" s="30">
        <f t="shared" ref="N38" si="3">MAX(M38:M41)</f>
        <v>1</v>
      </c>
    </row>
    <row r="39" spans="3:14" ht="57" x14ac:dyDescent="0.2">
      <c r="C39" s="29"/>
      <c r="D39" s="31"/>
      <c r="E39" s="2"/>
      <c r="F39" s="4">
        <v>44545</v>
      </c>
      <c r="G39" s="3" t="s">
        <v>36</v>
      </c>
      <c r="H39" s="3" t="s">
        <v>45</v>
      </c>
      <c r="I39" s="2" t="s">
        <v>49</v>
      </c>
      <c r="J39" s="3" t="s">
        <v>37</v>
      </c>
      <c r="K39" s="3" t="s">
        <v>38</v>
      </c>
      <c r="L39" s="3" t="s">
        <v>39</v>
      </c>
      <c r="M39" s="5">
        <v>0.45</v>
      </c>
      <c r="N39" s="30"/>
    </row>
    <row r="40" spans="3:14" x14ac:dyDescent="0.2">
      <c r="C40" s="29"/>
      <c r="D40" s="31"/>
      <c r="E40" s="2"/>
      <c r="F40" s="4">
        <v>44546</v>
      </c>
      <c r="G40" s="2"/>
      <c r="H40" s="2"/>
      <c r="I40" s="2"/>
      <c r="J40" s="2"/>
      <c r="K40" s="2"/>
      <c r="L40" s="2"/>
      <c r="M40" s="5">
        <v>1</v>
      </c>
      <c r="N40" s="30"/>
    </row>
    <row r="41" spans="3:14" x14ac:dyDescent="0.2">
      <c r="C41" s="29"/>
      <c r="D41" s="31"/>
      <c r="E41" s="2"/>
      <c r="F41" s="4">
        <v>44547</v>
      </c>
      <c r="G41" s="2"/>
      <c r="H41" s="2"/>
      <c r="I41" s="2"/>
      <c r="J41" s="2"/>
      <c r="K41" s="2"/>
      <c r="L41" s="2"/>
      <c r="M41" s="2"/>
      <c r="N41" s="30"/>
    </row>
    <row r="42" spans="3:14" x14ac:dyDescent="0.2">
      <c r="C42" s="29"/>
      <c r="D42" s="31"/>
      <c r="E42" s="2"/>
      <c r="F42" s="4">
        <v>44548</v>
      </c>
      <c r="G42" s="2"/>
      <c r="H42" s="2"/>
      <c r="I42" s="2"/>
      <c r="J42" s="2"/>
      <c r="K42" s="2"/>
      <c r="L42" s="2"/>
      <c r="M42" s="2"/>
      <c r="N42" s="30"/>
    </row>
  </sheetData>
  <mergeCells count="23">
    <mergeCell ref="N38:N42"/>
    <mergeCell ref="D4:N15"/>
    <mergeCell ref="E28:E32"/>
    <mergeCell ref="E33:E37"/>
    <mergeCell ref="N18:N22"/>
    <mergeCell ref="N23:N27"/>
    <mergeCell ref="N28:N32"/>
    <mergeCell ref="N33:N37"/>
    <mergeCell ref="C28:C32"/>
    <mergeCell ref="C33:C37"/>
    <mergeCell ref="C38:C42"/>
    <mergeCell ref="D18:D22"/>
    <mergeCell ref="D23:D27"/>
    <mergeCell ref="D28:D32"/>
    <mergeCell ref="D33:D37"/>
    <mergeCell ref="D38:D42"/>
    <mergeCell ref="C3:N3"/>
    <mergeCell ref="H16:L16"/>
    <mergeCell ref="C4:C15"/>
    <mergeCell ref="C18:C22"/>
    <mergeCell ref="C23:C27"/>
    <mergeCell ref="E18:E22"/>
    <mergeCell ref="E23:E27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42"/>
  <sheetViews>
    <sheetView workbookViewId="0">
      <selection activeCell="H16" sqref="H16:L16"/>
    </sheetView>
  </sheetViews>
  <sheetFormatPr defaultColWidth="9" defaultRowHeight="14.25" x14ac:dyDescent="0.2"/>
  <cols>
    <col min="3" max="3" width="23.875" customWidth="1"/>
    <col min="5" max="5" width="19.25" customWidth="1"/>
    <col min="6" max="6" width="11.125" customWidth="1"/>
    <col min="7" max="7" width="13" customWidth="1"/>
    <col min="10" max="10" width="35" customWidth="1"/>
    <col min="11" max="12" width="24.5" customWidth="1"/>
    <col min="13" max="14" width="15.125" customWidth="1"/>
  </cols>
  <sheetData>
    <row r="3" spans="3:14" ht="23.25" x14ac:dyDescent="0.2">
      <c r="C3" s="22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</row>
    <row r="4" spans="3:14" ht="131.25" customHeight="1" x14ac:dyDescent="0.2">
      <c r="C4" s="28" t="s">
        <v>15</v>
      </c>
      <c r="D4" s="33" t="s">
        <v>16</v>
      </c>
      <c r="E4" s="34"/>
      <c r="F4" s="34"/>
      <c r="G4" s="34"/>
      <c r="H4" s="34"/>
      <c r="I4" s="34"/>
      <c r="J4" s="34"/>
      <c r="K4" s="34"/>
      <c r="L4" s="34"/>
      <c r="M4" s="34"/>
      <c r="N4" s="35"/>
    </row>
    <row r="5" spans="3:14" x14ac:dyDescent="0.2">
      <c r="C5" s="28"/>
      <c r="D5" s="36"/>
      <c r="E5" s="37"/>
      <c r="F5" s="37"/>
      <c r="G5" s="37"/>
      <c r="H5" s="37"/>
      <c r="I5" s="37"/>
      <c r="J5" s="37"/>
      <c r="K5" s="37"/>
      <c r="L5" s="37"/>
      <c r="M5" s="37"/>
      <c r="N5" s="38"/>
    </row>
    <row r="6" spans="3:14" x14ac:dyDescent="0.2">
      <c r="C6" s="28"/>
      <c r="D6" s="36"/>
      <c r="E6" s="37"/>
      <c r="F6" s="37"/>
      <c r="G6" s="37"/>
      <c r="H6" s="37"/>
      <c r="I6" s="37"/>
      <c r="J6" s="37"/>
      <c r="K6" s="37"/>
      <c r="L6" s="37"/>
      <c r="M6" s="37"/>
      <c r="N6" s="38"/>
    </row>
    <row r="7" spans="3:14" x14ac:dyDescent="0.2">
      <c r="C7" s="28"/>
      <c r="D7" s="36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3:14" x14ac:dyDescent="0.2">
      <c r="C8" s="28"/>
      <c r="D8" s="36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3:14" x14ac:dyDescent="0.2">
      <c r="C9" s="28"/>
      <c r="D9" s="36"/>
      <c r="E9" s="37"/>
      <c r="F9" s="37"/>
      <c r="G9" s="37"/>
      <c r="H9" s="37"/>
      <c r="I9" s="37"/>
      <c r="J9" s="37"/>
      <c r="K9" s="37"/>
      <c r="L9" s="37"/>
      <c r="M9" s="37"/>
      <c r="N9" s="38"/>
    </row>
    <row r="10" spans="3:14" x14ac:dyDescent="0.2">
      <c r="C10" s="28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8"/>
    </row>
    <row r="11" spans="3:14" x14ac:dyDescent="0.2">
      <c r="C11" s="28"/>
      <c r="D11" s="36"/>
      <c r="E11" s="37"/>
      <c r="F11" s="37"/>
      <c r="G11" s="37"/>
      <c r="H11" s="37"/>
      <c r="I11" s="37"/>
      <c r="J11" s="37"/>
      <c r="K11" s="37"/>
      <c r="L11" s="37"/>
      <c r="M11" s="37"/>
      <c r="N11" s="38"/>
    </row>
    <row r="12" spans="3:14" x14ac:dyDescent="0.2">
      <c r="C12" s="28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8"/>
    </row>
    <row r="13" spans="3:14" x14ac:dyDescent="0.2">
      <c r="C13" s="28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8"/>
    </row>
    <row r="14" spans="3:14" x14ac:dyDescent="0.2">
      <c r="C14" s="28"/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3:14" x14ac:dyDescent="0.2">
      <c r="C15" s="28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1"/>
    </row>
    <row r="16" spans="3:14" ht="99" customHeight="1" x14ac:dyDescent="0.2">
      <c r="C16" s="1" t="s">
        <v>17</v>
      </c>
      <c r="D16" s="2" t="s">
        <v>52</v>
      </c>
      <c r="E16" s="1" t="s">
        <v>19</v>
      </c>
      <c r="F16" s="2" t="s">
        <v>20</v>
      </c>
      <c r="G16" s="1" t="s">
        <v>21</v>
      </c>
      <c r="H16" s="25" t="s">
        <v>22</v>
      </c>
      <c r="I16" s="26"/>
      <c r="J16" s="26"/>
      <c r="K16" s="26"/>
      <c r="L16" s="27"/>
      <c r="M16" s="1" t="s">
        <v>23</v>
      </c>
      <c r="N16" s="5">
        <f>N18*D18+N23*D23+N28*D28+N33*D33+N38*D38</f>
        <v>0.99999999999999989</v>
      </c>
    </row>
    <row r="17" spans="3:14" x14ac:dyDescent="0.2">
      <c r="C17" s="1" t="s">
        <v>24</v>
      </c>
      <c r="D17" s="1" t="s">
        <v>12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  <c r="L17" s="1" t="s">
        <v>32</v>
      </c>
      <c r="M17" s="1" t="s">
        <v>33</v>
      </c>
      <c r="N17" s="1" t="s">
        <v>11</v>
      </c>
    </row>
    <row r="18" spans="3:14" ht="57" x14ac:dyDescent="0.2">
      <c r="C18" s="29" t="s">
        <v>34</v>
      </c>
      <c r="D18" s="30">
        <v>0.2</v>
      </c>
      <c r="E18" s="32" t="s">
        <v>35</v>
      </c>
      <c r="F18" s="4">
        <v>44544</v>
      </c>
      <c r="G18" s="3" t="s">
        <v>36</v>
      </c>
      <c r="H18" s="3" t="s">
        <v>36</v>
      </c>
      <c r="I18" s="2"/>
      <c r="J18" s="3" t="s">
        <v>37</v>
      </c>
      <c r="K18" s="3" t="s">
        <v>38</v>
      </c>
      <c r="L18" s="3" t="s">
        <v>36</v>
      </c>
      <c r="M18" s="5">
        <v>0.1</v>
      </c>
      <c r="N18" s="30">
        <f>MAX(M18:M21)</f>
        <v>1</v>
      </c>
    </row>
    <row r="19" spans="3:14" ht="57" x14ac:dyDescent="0.2">
      <c r="C19" s="29"/>
      <c r="D19" s="31"/>
      <c r="E19" s="29"/>
      <c r="F19" s="4">
        <v>44545</v>
      </c>
      <c r="G19" s="3" t="s">
        <v>39</v>
      </c>
      <c r="H19" s="3" t="s">
        <v>36</v>
      </c>
      <c r="I19" s="2" t="s">
        <v>40</v>
      </c>
      <c r="J19" s="3" t="s">
        <v>37</v>
      </c>
      <c r="K19" s="3" t="s">
        <v>38</v>
      </c>
      <c r="L19" s="3" t="s">
        <v>39</v>
      </c>
      <c r="M19" s="5">
        <v>0.45</v>
      </c>
      <c r="N19" s="30"/>
    </row>
    <row r="20" spans="3:14" ht="57" x14ac:dyDescent="0.2">
      <c r="C20" s="29"/>
      <c r="D20" s="31"/>
      <c r="E20" s="29"/>
      <c r="F20" s="4">
        <v>44546</v>
      </c>
      <c r="G20" s="3" t="s">
        <v>39</v>
      </c>
      <c r="H20" s="3" t="s">
        <v>36</v>
      </c>
      <c r="I20" s="2" t="s">
        <v>40</v>
      </c>
      <c r="J20" s="3" t="s">
        <v>37</v>
      </c>
      <c r="K20" s="3" t="s">
        <v>38</v>
      </c>
      <c r="L20" s="3" t="s">
        <v>39</v>
      </c>
      <c r="M20" s="5">
        <v>1</v>
      </c>
      <c r="N20" s="30"/>
    </row>
    <row r="21" spans="3:14" x14ac:dyDescent="0.2">
      <c r="C21" s="29"/>
      <c r="D21" s="31"/>
      <c r="E21" s="29"/>
      <c r="F21" s="4">
        <v>44547</v>
      </c>
      <c r="G21" s="2"/>
      <c r="H21" s="2"/>
      <c r="I21" s="2"/>
      <c r="J21" s="2"/>
      <c r="K21" s="2"/>
      <c r="L21" s="2"/>
      <c r="M21" s="2"/>
      <c r="N21" s="30"/>
    </row>
    <row r="22" spans="3:14" x14ac:dyDescent="0.2">
      <c r="C22" s="29"/>
      <c r="D22" s="31"/>
      <c r="E22" s="29"/>
      <c r="F22" s="4">
        <v>44548</v>
      </c>
      <c r="G22" s="2"/>
      <c r="H22" s="2"/>
      <c r="I22" s="2"/>
      <c r="J22" s="2"/>
      <c r="K22" s="2"/>
      <c r="L22" s="2"/>
      <c r="M22" s="2"/>
      <c r="N22" s="30"/>
    </row>
    <row r="23" spans="3:14" ht="57" x14ac:dyDescent="0.2">
      <c r="C23" s="29" t="s">
        <v>41</v>
      </c>
      <c r="D23" s="30">
        <v>0.2</v>
      </c>
      <c r="E23" s="32" t="s">
        <v>42</v>
      </c>
      <c r="F23" s="4">
        <v>44544</v>
      </c>
      <c r="G23" s="3" t="s">
        <v>36</v>
      </c>
      <c r="H23" s="3" t="s">
        <v>36</v>
      </c>
      <c r="I23" s="2"/>
      <c r="J23" s="3" t="s">
        <v>37</v>
      </c>
      <c r="K23" s="3" t="s">
        <v>38</v>
      </c>
      <c r="L23" s="3" t="s">
        <v>36</v>
      </c>
      <c r="M23" s="5">
        <v>0.1</v>
      </c>
      <c r="N23" s="30">
        <f t="shared" ref="N23" si="0">MAX(M23:M26)</f>
        <v>1</v>
      </c>
    </row>
    <row r="24" spans="3:14" ht="57" x14ac:dyDescent="0.2">
      <c r="C24" s="29"/>
      <c r="D24" s="31"/>
      <c r="E24" s="29"/>
      <c r="F24" s="4">
        <v>44545</v>
      </c>
      <c r="G24" s="3" t="s">
        <v>36</v>
      </c>
      <c r="H24" s="3" t="s">
        <v>36</v>
      </c>
      <c r="I24" s="2" t="s">
        <v>40</v>
      </c>
      <c r="J24" s="3" t="s">
        <v>37</v>
      </c>
      <c r="K24" s="3" t="s">
        <v>38</v>
      </c>
      <c r="L24" s="3" t="s">
        <v>39</v>
      </c>
      <c r="M24" s="5">
        <v>0.45</v>
      </c>
      <c r="N24" s="30"/>
    </row>
    <row r="25" spans="3:14" ht="28.5" x14ac:dyDescent="0.2">
      <c r="C25" s="29"/>
      <c r="D25" s="31"/>
      <c r="E25" s="29"/>
      <c r="F25" s="4">
        <v>44546</v>
      </c>
      <c r="G25" s="3" t="s">
        <v>36</v>
      </c>
      <c r="H25" s="3" t="s">
        <v>36</v>
      </c>
      <c r="I25" s="2" t="s">
        <v>40</v>
      </c>
      <c r="J25" s="2"/>
      <c r="K25" s="2"/>
      <c r="L25" s="2"/>
      <c r="M25" s="5">
        <v>1</v>
      </c>
      <c r="N25" s="30"/>
    </row>
    <row r="26" spans="3:14" x14ac:dyDescent="0.2">
      <c r="C26" s="29"/>
      <c r="D26" s="31"/>
      <c r="E26" s="29"/>
      <c r="F26" s="4">
        <v>44547</v>
      </c>
      <c r="G26" s="2"/>
      <c r="H26" s="2"/>
      <c r="I26" s="2"/>
      <c r="J26" s="2"/>
      <c r="K26" s="2"/>
      <c r="L26" s="2"/>
      <c r="M26" s="2"/>
      <c r="N26" s="30"/>
    </row>
    <row r="27" spans="3:14" x14ac:dyDescent="0.2">
      <c r="C27" s="29"/>
      <c r="D27" s="31"/>
      <c r="E27" s="29"/>
      <c r="F27" s="4">
        <v>44548</v>
      </c>
      <c r="G27" s="2"/>
      <c r="H27" s="2"/>
      <c r="I27" s="2"/>
      <c r="J27" s="2"/>
      <c r="K27" s="2"/>
      <c r="L27" s="2"/>
      <c r="M27" s="2"/>
      <c r="N27" s="30"/>
    </row>
    <row r="28" spans="3:14" ht="57" x14ac:dyDescent="0.2">
      <c r="C28" s="29" t="s">
        <v>43</v>
      </c>
      <c r="D28" s="30">
        <v>0.3</v>
      </c>
      <c r="E28" s="32" t="s">
        <v>44</v>
      </c>
      <c r="F28" s="4">
        <v>44544</v>
      </c>
      <c r="G28" s="3" t="s">
        <v>36</v>
      </c>
      <c r="H28" s="3" t="s">
        <v>36</v>
      </c>
      <c r="I28" s="2"/>
      <c r="J28" s="3" t="s">
        <v>37</v>
      </c>
      <c r="K28" s="3" t="s">
        <v>38</v>
      </c>
      <c r="L28" s="3" t="s">
        <v>36</v>
      </c>
      <c r="M28" s="5">
        <v>0.1</v>
      </c>
      <c r="N28" s="30">
        <f t="shared" ref="N28" si="1">MAX(M28:M31)</f>
        <v>1</v>
      </c>
    </row>
    <row r="29" spans="3:14" ht="57" x14ac:dyDescent="0.2">
      <c r="C29" s="29"/>
      <c r="D29" s="31"/>
      <c r="E29" s="29"/>
      <c r="F29" s="4">
        <v>44545</v>
      </c>
      <c r="G29" s="3" t="s">
        <v>45</v>
      </c>
      <c r="H29" s="3" t="s">
        <v>36</v>
      </c>
      <c r="I29" s="2" t="s">
        <v>40</v>
      </c>
      <c r="J29" s="3" t="s">
        <v>37</v>
      </c>
      <c r="K29" s="3" t="s">
        <v>38</v>
      </c>
      <c r="L29" s="3" t="s">
        <v>39</v>
      </c>
      <c r="M29" s="5">
        <v>0.45</v>
      </c>
      <c r="N29" s="30"/>
    </row>
    <row r="30" spans="3:14" ht="42.75" x14ac:dyDescent="0.2">
      <c r="C30" s="29"/>
      <c r="D30" s="31"/>
      <c r="E30" s="29"/>
      <c r="F30" s="4">
        <v>44546</v>
      </c>
      <c r="G30" s="3" t="s">
        <v>39</v>
      </c>
      <c r="H30" s="3" t="s">
        <v>36</v>
      </c>
      <c r="I30" s="2" t="s">
        <v>40</v>
      </c>
      <c r="J30" s="2"/>
      <c r="K30" s="2"/>
      <c r="L30" s="2"/>
      <c r="M30" s="5">
        <v>1</v>
      </c>
      <c r="N30" s="30"/>
    </row>
    <row r="31" spans="3:14" x14ac:dyDescent="0.2">
      <c r="C31" s="29"/>
      <c r="D31" s="31"/>
      <c r="E31" s="29"/>
      <c r="F31" s="4">
        <v>44547</v>
      </c>
      <c r="G31" s="2"/>
      <c r="H31" s="2"/>
      <c r="I31" s="2"/>
      <c r="J31" s="2"/>
      <c r="K31" s="2"/>
      <c r="L31" s="2"/>
      <c r="M31" s="2"/>
      <c r="N31" s="30"/>
    </row>
    <row r="32" spans="3:14" x14ac:dyDescent="0.2">
      <c r="C32" s="29"/>
      <c r="D32" s="31"/>
      <c r="E32" s="29"/>
      <c r="F32" s="4">
        <v>44548</v>
      </c>
      <c r="G32" s="2"/>
      <c r="H32" s="2"/>
      <c r="I32" s="2"/>
      <c r="J32" s="2"/>
      <c r="K32" s="2"/>
      <c r="L32" s="2"/>
      <c r="M32" s="2"/>
      <c r="N32" s="30"/>
    </row>
    <row r="33" spans="3:14" ht="14.25" customHeight="1" x14ac:dyDescent="0.2">
      <c r="C33" s="29" t="s">
        <v>46</v>
      </c>
      <c r="D33" s="30">
        <v>0.2</v>
      </c>
      <c r="E33" s="32" t="s">
        <v>47</v>
      </c>
      <c r="F33" s="4">
        <v>44544</v>
      </c>
      <c r="G33" s="3" t="s">
        <v>36</v>
      </c>
      <c r="H33" s="3" t="s">
        <v>36</v>
      </c>
      <c r="I33" s="3"/>
      <c r="J33" s="2"/>
      <c r="K33" s="2"/>
      <c r="L33" s="2"/>
      <c r="M33" s="5">
        <v>0.1</v>
      </c>
      <c r="N33" s="30">
        <f t="shared" ref="N33" si="2">MAX(M33:M36)</f>
        <v>1</v>
      </c>
    </row>
    <row r="34" spans="3:14" x14ac:dyDescent="0.2">
      <c r="C34" s="29"/>
      <c r="D34" s="31"/>
      <c r="E34" s="32"/>
      <c r="F34" s="4">
        <v>44545</v>
      </c>
      <c r="G34" s="3" t="s">
        <v>45</v>
      </c>
      <c r="H34" s="2"/>
      <c r="I34" s="3" t="s">
        <v>45</v>
      </c>
      <c r="J34" s="2"/>
      <c r="K34" s="2"/>
      <c r="L34" s="2"/>
      <c r="M34" s="5">
        <v>0.45</v>
      </c>
      <c r="N34" s="30"/>
    </row>
    <row r="35" spans="3:14" x14ac:dyDescent="0.2">
      <c r="C35" s="29"/>
      <c r="D35" s="31"/>
      <c r="E35" s="32"/>
      <c r="F35" s="4">
        <v>44546</v>
      </c>
      <c r="G35" s="2"/>
      <c r="H35" s="2"/>
      <c r="I35" s="2"/>
      <c r="J35" s="2"/>
      <c r="K35" s="2"/>
      <c r="L35" s="2"/>
      <c r="M35" s="5">
        <v>1</v>
      </c>
      <c r="N35" s="30"/>
    </row>
    <row r="36" spans="3:14" x14ac:dyDescent="0.2">
      <c r="C36" s="29"/>
      <c r="D36" s="31"/>
      <c r="E36" s="32"/>
      <c r="F36" s="4">
        <v>44547</v>
      </c>
      <c r="G36" s="2"/>
      <c r="H36" s="2"/>
      <c r="I36" s="2"/>
      <c r="J36" s="2"/>
      <c r="K36" s="2"/>
      <c r="L36" s="2"/>
      <c r="M36" s="2"/>
      <c r="N36" s="30"/>
    </row>
    <row r="37" spans="3:14" x14ac:dyDescent="0.2">
      <c r="C37" s="29"/>
      <c r="D37" s="31"/>
      <c r="E37" s="32"/>
      <c r="F37" s="4">
        <v>44548</v>
      </c>
      <c r="G37" s="2"/>
      <c r="H37" s="2"/>
      <c r="I37" s="2"/>
      <c r="J37" s="2"/>
      <c r="K37" s="2"/>
      <c r="L37" s="2"/>
      <c r="M37" s="2"/>
      <c r="N37" s="30"/>
    </row>
    <row r="38" spans="3:14" ht="57" x14ac:dyDescent="0.2">
      <c r="C38" s="29" t="s">
        <v>48</v>
      </c>
      <c r="D38" s="30">
        <v>0.1</v>
      </c>
      <c r="E38" s="2"/>
      <c r="F38" s="4">
        <v>44544</v>
      </c>
      <c r="G38" s="3" t="s">
        <v>36</v>
      </c>
      <c r="H38" s="3" t="s">
        <v>45</v>
      </c>
      <c r="I38" s="2" t="s">
        <v>49</v>
      </c>
      <c r="J38" s="3" t="s">
        <v>37</v>
      </c>
      <c r="K38" s="3" t="s">
        <v>38</v>
      </c>
      <c r="L38" s="3" t="s">
        <v>36</v>
      </c>
      <c r="M38" s="5">
        <v>0.1</v>
      </c>
      <c r="N38" s="30">
        <f t="shared" ref="N38" si="3">MAX(M38:M41)</f>
        <v>1</v>
      </c>
    </row>
    <row r="39" spans="3:14" ht="57" x14ac:dyDescent="0.2">
      <c r="C39" s="29"/>
      <c r="D39" s="31"/>
      <c r="E39" s="2"/>
      <c r="F39" s="4">
        <v>44545</v>
      </c>
      <c r="G39" s="3" t="s">
        <v>36</v>
      </c>
      <c r="H39" s="3" t="s">
        <v>45</v>
      </c>
      <c r="I39" s="2" t="s">
        <v>49</v>
      </c>
      <c r="J39" s="3" t="s">
        <v>37</v>
      </c>
      <c r="K39" s="3" t="s">
        <v>38</v>
      </c>
      <c r="L39" s="3" t="s">
        <v>39</v>
      </c>
      <c r="M39" s="5">
        <v>0.45</v>
      </c>
      <c r="N39" s="30"/>
    </row>
    <row r="40" spans="3:14" x14ac:dyDescent="0.2">
      <c r="C40" s="29"/>
      <c r="D40" s="31"/>
      <c r="E40" s="2"/>
      <c r="F40" s="4">
        <v>44546</v>
      </c>
      <c r="G40" s="2"/>
      <c r="H40" s="2"/>
      <c r="I40" s="2"/>
      <c r="J40" s="2"/>
      <c r="K40" s="2"/>
      <c r="L40" s="2"/>
      <c r="M40" s="5">
        <v>1</v>
      </c>
      <c r="N40" s="30"/>
    </row>
    <row r="41" spans="3:14" x14ac:dyDescent="0.2">
      <c r="C41" s="29"/>
      <c r="D41" s="31"/>
      <c r="E41" s="2"/>
      <c r="F41" s="4">
        <v>44547</v>
      </c>
      <c r="G41" s="2"/>
      <c r="H41" s="2"/>
      <c r="I41" s="2"/>
      <c r="J41" s="2"/>
      <c r="K41" s="2"/>
      <c r="L41" s="2"/>
      <c r="M41" s="2"/>
      <c r="N41" s="30"/>
    </row>
    <row r="42" spans="3:14" x14ac:dyDescent="0.2">
      <c r="C42" s="29"/>
      <c r="D42" s="31"/>
      <c r="E42" s="2"/>
      <c r="F42" s="4">
        <v>44548</v>
      </c>
      <c r="G42" s="2"/>
      <c r="H42" s="2"/>
      <c r="I42" s="2"/>
      <c r="J42" s="2"/>
      <c r="K42" s="2"/>
      <c r="L42" s="2"/>
      <c r="M42" s="2"/>
      <c r="N42" s="30"/>
    </row>
  </sheetData>
  <mergeCells count="23">
    <mergeCell ref="N38:N42"/>
    <mergeCell ref="D4:N15"/>
    <mergeCell ref="E28:E32"/>
    <mergeCell ref="E33:E37"/>
    <mergeCell ref="N18:N22"/>
    <mergeCell ref="N23:N27"/>
    <mergeCell ref="N28:N32"/>
    <mergeCell ref="N33:N37"/>
    <mergeCell ref="C28:C32"/>
    <mergeCell ref="C33:C37"/>
    <mergeCell ref="C38:C42"/>
    <mergeCell ref="D18:D22"/>
    <mergeCell ref="D23:D27"/>
    <mergeCell ref="D28:D32"/>
    <mergeCell ref="D33:D37"/>
    <mergeCell ref="D38:D42"/>
    <mergeCell ref="C3:N3"/>
    <mergeCell ref="H16:L16"/>
    <mergeCell ref="C4:C15"/>
    <mergeCell ref="C18:C22"/>
    <mergeCell ref="C23:C27"/>
    <mergeCell ref="E18:E22"/>
    <mergeCell ref="E23:E2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项目概述</vt:lpstr>
      <vt:lpstr>开发日报-张三</vt:lpstr>
      <vt:lpstr>开发日报-李四</vt:lpstr>
      <vt:lpstr>开发日报-王五</vt:lpstr>
      <vt:lpstr>开发日报-赵六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NIIT</dc:creator>
  <cp:lastModifiedBy>NIIT</cp:lastModifiedBy>
  <dcterms:created xsi:type="dcterms:W3CDTF">2015-06-05T18:19:00Z</dcterms:created>
  <dcterms:modified xsi:type="dcterms:W3CDTF">2021-12-19T02:03:30Z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